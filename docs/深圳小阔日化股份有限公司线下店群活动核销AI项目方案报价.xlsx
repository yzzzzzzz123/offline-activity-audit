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ingDing\小阔方案\"/>
    </mc:Choice>
  </mc:AlternateContent>
  <bookViews>
    <workbookView windowWidth="23040" windowHeight="9060"/>
  </bookViews>
  <sheets>
    <sheet name="深圳小阔日化股份有限公司线下店群活动核销AI项目实施报价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<sst xmlns="http://schemas.openxmlformats.org/spreadsheetml/2006/main" count="88" uniqueCount="83">
  <si>
    <t>深圳小阔日化股份有限公司线下店群活动核销AI项目实施报价</t>
  </si>
  <si>
    <t>编号</t>
  </si>
  <si>
    <t>阶段</t>
  </si>
  <si>
    <t>需求描述</t>
  </si>
  <si>
    <t>工作量（人天）</t>
  </si>
  <si>
    <t>单价（人/天）</t>
  </si>
  <si>
    <t>数据库对接</t>
  </si>
  <si>
    <t>风险点</t>
  </si>
  <si>
    <t>备注信息</t>
  </si>
  <si>
    <t>需求</t>
  </si>
  <si>
    <t>项目启动与范围确认</t>
  </si>
  <si>
    <t>启动会、角色确认、现状核对，锁定一个核销场景和交付边界</t>
  </si>
  <si>
    <t>业务流程与核销规则梳理</t>
  </si>
  <si>
    <t>确认材料清单、审核规则、异常/补件条件及人工复核节点</t>
  </si>
  <si>
    <t>接口、数据与技术设计</t>
  </si>
  <si>
    <t>明确钉钉、勤策、机器人、AI服务、H5和文件数据关系</t>
  </si>
  <si>
    <t>开发</t>
  </si>
  <si>
    <t>钉钉协同与核销机器人</t>
  </si>
  <si>
    <t>勤策触发与自动建群</t>
  </si>
  <si>
    <t>钉钉、e 签宝、勤策系统基础鉴权搭建</t>
  </si>
  <si>
    <t>审批角色解析与成员入群</t>
  </si>
  <si>
    <t>接收勤策核销申请事件，创建核销群并绑定核销单号</t>
  </si>
  <si>
    <t>机器人消息接入与任务触发</t>
  </si>
  <si>
    <t>解析发起人和审批角色，去重后自动加入核销群</t>
  </si>
  <si>
    <t>文件归集、校验、存储与回执</t>
  </si>
  <si>
    <t>接收群消息和@机器人事件，触发文件收集与AI分析</t>
  </si>
  <si>
    <t>关键通知与群完结归档</t>
  </si>
  <si>
    <t>文件绑定核销单、类型/命名校验、存储及成功失败回执</t>
  </si>
  <si>
    <t>AI 识别与规则审核</t>
  </si>
  <si>
    <t>文件分类与图像预处理</t>
  </si>
  <si>
    <t>完成收件、分析、待复核、驳回、完成通知及群状态调整</t>
  </si>
  <si>
    <t>照片真实性风险辅助检测</t>
  </si>
  <si>
    <t>读取EXIF/GPS/水印并进行pHash重复和跨活动复用检测</t>
  </si>
  <si>
    <t>现场/陈列照片多模态识别</t>
  </si>
  <si>
    <t>按固定活动规则识别门店、商品、排面、物料、位置和照片质量</t>
  </si>
  <si>
    <t>发票及票据OCR结构化</t>
  </si>
  <si>
    <t>提取发票代码、号码、金额、日期、购销方等关键字段</t>
  </si>
  <si>
    <t>合同、费用明细及规则抽取</t>
  </si>
  <si>
    <t>抽取合同金额、活动周期、Excel费用明细和核销政策字段</t>
  </si>
  <si>
    <t>跨材料一致性与规则判断</t>
  </si>
  <si>
    <t>对照片、票据、费用、预算、合同和门店信息进行字段及计算比对</t>
  </si>
  <si>
    <t>结果汇总、异常重试与用量日志</t>
  </si>
  <si>
    <t>汇总通过/异常/待补件结论，处理失败重试并记录模型调用量</t>
  </si>
  <si>
    <t>简版 H5 人工复核</t>
  </si>
  <si>
    <t>复核任务列表与基础权限</t>
  </si>
  <si>
    <t>展示待复核、异常、待补件和已完成任务，按人员做基础权限控制</t>
  </si>
  <si>
    <t>核销材料在线预览</t>
  </si>
  <si>
    <t>支持图片缩放、PDF翻页和常见表格材料查看</t>
  </si>
  <si>
    <t>AI结果与异常原因展示</t>
  </si>
  <si>
    <t>展示文件级和核销单级结论、证据、风险点及异常原因</t>
  </si>
  <si>
    <t>通过、驳回与补件操作</t>
  </si>
  <si>
    <t>支持人工通过、驳回、待补件及原因填写并触发状态更新</t>
  </si>
  <si>
    <t>复核日志与状态留痕</t>
  </si>
  <si>
    <t>记录复核人、时间、结论、意见和状态变化</t>
  </si>
  <si>
    <t>勤策集成与状态回写</t>
  </si>
  <si>
    <t>接口鉴权与字段映射</t>
  </si>
  <si>
    <t>完成核销单号、人员、状态、结论和AI摘要字段映射</t>
  </si>
  <si>
    <t>核销结果与状态同步</t>
  </si>
  <si>
    <t>人工复核后将结论回写勤策，并同步勤策处理结果</t>
  </si>
  <si>
    <t>失败重试、日志与异常提示</t>
  </si>
  <si>
    <t>处理接口超时和失败重试，记录同步日志并提示异常</t>
  </si>
  <si>
    <t>测试</t>
  </si>
  <si>
    <t>测试、上线与培训</t>
  </si>
  <si>
    <t>样本校准与测试用例</t>
  </si>
  <si>
    <t>基于客户样本校准提示词和规则，编写关键链路测试用例</t>
  </si>
  <si>
    <t>集成功能测试</t>
  </si>
  <si>
    <t>覆盖机器人、AI、H5、勤策回写和主要异常场景</t>
  </si>
  <si>
    <t>客户UAT与范围内问题修复</t>
  </si>
  <si>
    <t>支持一轮客户验收测试及范围内问题定位和修复</t>
  </si>
  <si>
    <t>部署上线与稳定运行支持</t>
  </si>
  <si>
    <t>生产发布、配置核对、上线观察和约定稳定期支持</t>
  </si>
  <si>
    <t>用户培训与交付文档</t>
  </si>
  <si>
    <t>提供管理员和复核人员培训、操作说明及接口文档</t>
  </si>
  <si>
    <t>部署</t>
  </si>
  <si>
    <t>项目管理与交付保障</t>
  </si>
  <si>
    <t>项目计划与过程协调</t>
  </si>
  <si>
    <t>风险、变更与验收协调</t>
  </si>
  <si>
    <t>运维</t>
  </si>
  <si>
    <t>系统维护、bug修复等</t>
  </si>
  <si>
    <t>-</t>
  </si>
  <si>
    <t>运维费用为开发费用的10%，按年支付</t>
  </si>
  <si>
    <t>合计：</t>
  </si>
  <si>
    <t>工作量评估说明：1、只能是大概所需人天，真实开发场景中可能会有人天差异；2、依托正常开发场景，复杂场景除外；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</si>
</sst>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\¥#,##0"/>
  </numFmts>
  <fonts count="33">
    <font>
      <sz val="11"/>
      <name val="Carlito"/>
      <charset val="134"/>
    </font>
    <font>
      <sz val="12"/>
      <color theme="1"/>
      <name val="Calibri"/>
      <charset val="134"/>
      <scheme val="minor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b/>
      <sz val="10"/>
      <color rgb="FF262626"/>
      <name val="微软雅黑"/>
      <charset val="134"/>
    </font>
    <font>
      <sz val="10"/>
      <color rgb="FF262626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sz val="11"/>
      <color rgb="FF222222"/>
      <name val="Carlito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</font>
    <font>
      <sz val="9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CED7E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176" fontId="3" fillId="0" borderId="0" xfId="0" applyNumberFormat="1" applyFont="1" applyFill="1" applyAlignment="1"/>
    <xf numFmtId="0" fontId="4" fillId="0" borderId="1" xfId="0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176" fontId="5" fillId="2" borderId="1" xfId="0" applyNumberFormat="1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</xf>
    <xf numFmtId="176" fontId="6" fillId="4" borderId="1" xfId="0" applyNumberFormat="1" applyFont="1" applyFill="1" applyBorder="1" applyAlignment="1" applyProtection="1">
      <alignment horizontal="center" vertical="center" wrapText="1"/>
    </xf>
    <xf numFmtId="176" fontId="7" fillId="4" borderId="1" xfId="0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left" vertical="center" wrapText="1"/>
    </xf>
    <xf numFmtId="0" fontId="6" fillId="5" borderId="2" xfId="0" applyFont="1" applyFill="1" applyBorder="1" applyAlignment="1" applyProtection="1">
      <alignment horizontal="center" vertical="center" wrapText="1"/>
    </xf>
    <xf numFmtId="0" fontId="8" fillId="0" borderId="3" xfId="49" applyNumberFormat="1" applyFont="1" applyFill="1" applyBorder="1" applyAlignment="1">
      <alignment horizontal="left" vertical="center" wrapText="1"/>
    </xf>
    <xf numFmtId="0" fontId="8" fillId="0" borderId="4" xfId="49" applyNumberFormat="1" applyFont="1" applyFill="1" applyBorder="1" applyAlignment="1">
      <alignment horizontal="left" vertical="center" wrapText="1"/>
    </xf>
    <xf numFmtId="3" fontId="8" fillId="0" borderId="5" xfId="49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 applyProtection="1">
      <alignment horizontal="center" vertical="center"/>
    </xf>
    <xf numFmtId="0" fontId="10" fillId="5" borderId="2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left" vertical="center" wrapText="1"/>
    </xf>
    <xf numFmtId="0" fontId="8" fillId="0" borderId="5" xfId="49" applyNumberFormat="1" applyFont="1" applyFill="1" applyBorder="1" applyAlignment="1">
      <alignment horizontal="left" vertical="center" wrapText="1"/>
    </xf>
    <xf numFmtId="0" fontId="6" fillId="5" borderId="6" xfId="0" applyFont="1" applyFill="1" applyBorder="1" applyAlignment="1" applyProtection="1">
      <alignment horizontal="center" vertical="center" wrapText="1"/>
    </xf>
    <xf numFmtId="0" fontId="8" fillId="0" borderId="7" xfId="49" applyNumberFormat="1" applyFont="1" applyFill="1" applyBorder="1" applyAlignment="1">
      <alignment horizontal="left" vertical="center" wrapText="1"/>
    </xf>
    <xf numFmtId="0" fontId="8" fillId="0" borderId="8" xfId="49" applyNumberFormat="1" applyFont="1" applyFill="1" applyBorder="1" applyAlignment="1">
      <alignment horizontal="left" vertical="center" wrapText="1"/>
    </xf>
    <xf numFmtId="3" fontId="8" fillId="0" borderId="9" xfId="49" applyNumberFormat="1" applyFont="1" applyFill="1" applyBorder="1" applyAlignment="1">
      <alignment horizontal="center" vertical="center" wrapText="1"/>
    </xf>
    <xf numFmtId="177" fontId="9" fillId="0" borderId="2" xfId="0" applyNumberFormat="1" applyFont="1" applyFill="1" applyBorder="1" applyAlignment="1" applyProtection="1">
      <alignment horizontal="center" vertical="center"/>
    </xf>
    <xf numFmtId="0" fontId="10" fillId="5" borderId="2" xfId="0" applyFont="1" applyFill="1" applyBorder="1" applyAlignment="1" applyProtection="1">
      <alignment horizontal="left" vertical="center" wrapText="1"/>
    </xf>
    <xf numFmtId="0" fontId="8" fillId="0" borderId="9" xfId="49" applyNumberFormat="1" applyFont="1" applyFill="1" applyBorder="1" applyAlignment="1">
      <alignment horizontal="left" vertical="center" wrapText="1"/>
    </xf>
    <xf numFmtId="0" fontId="6" fillId="5" borderId="5" xfId="0" applyFont="1" applyFill="1" applyBorder="1" applyAlignment="1" applyProtection="1">
      <alignment horizontal="center" vertical="center" wrapText="1"/>
    </xf>
    <xf numFmtId="177" fontId="9" fillId="0" borderId="5" xfId="0" applyNumberFormat="1" applyFont="1" applyFill="1" applyBorder="1" applyAlignment="1" applyProtection="1">
      <alignment horizontal="center" vertical="center"/>
    </xf>
    <xf numFmtId="0" fontId="10" fillId="5" borderId="5" xfId="0" applyFont="1" applyFill="1" applyBorder="1" applyAlignment="1" applyProtection="1">
      <alignment horizontal="center" vertical="center" wrapText="1"/>
    </xf>
    <xf numFmtId="0" fontId="10" fillId="5" borderId="5" xfId="0" applyFont="1" applyFill="1" applyBorder="1" applyAlignment="1" applyProtection="1">
      <alignment horizontal="left" vertical="center" wrapText="1"/>
    </xf>
    <xf numFmtId="0" fontId="9" fillId="5" borderId="5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9" fillId="0" borderId="0" xfId="0" applyFont="1" applyFill="1" applyBorder="1" applyAlignment="1" applyProtection="1">
      <alignment horizontal="left" vertical="center" wrapText="1"/>
    </xf>
    <xf numFmtId="0" fontId="9" fillId="5" borderId="5" xfId="0" applyFont="1" applyFill="1" applyBorder="1" applyAlignment="1" applyProtection="1">
      <alignment horizontal="center" vertical="center" wrapText="1"/>
    </xf>
    <xf numFmtId="177" fontId="11" fillId="0" borderId="5" xfId="0" applyNumberFormat="1" applyFont="1" applyFill="1" applyBorder="1" applyAlignment="1" applyProtection="1">
      <alignment vertical="center"/>
    </xf>
    <xf numFmtId="0" fontId="11" fillId="0" borderId="5" xfId="0" applyFont="1" applyFill="1" applyBorder="1" applyAlignment="1" applyProtection="1">
      <alignment vertical="center"/>
    </xf>
    <xf numFmtId="0" fontId="6" fillId="5" borderId="5" xfId="0" applyFont="1" applyFill="1" applyBorder="1" applyAlignment="1" applyProtection="1">
      <alignment horizontal="right" vertical="center" wrapText="1"/>
    </xf>
    <xf numFmtId="0" fontId="7" fillId="5" borderId="5" xfId="0" applyFont="1" applyFill="1" applyBorder="1" applyAlignment="1" applyProtection="1">
      <alignment horizontal="center" vertical="center" wrapText="1"/>
    </xf>
    <xf numFmtId="0" fontId="12" fillId="0" borderId="5" xfId="0" applyFont="1" applyFill="1" applyBorder="1" applyAlignment="1" applyProtection="1"/>
    <xf numFmtId="0" fontId="9" fillId="0" borderId="5" xfId="0" applyFont="1" applyFill="1" applyBorder="1" applyAlignment="1" applyProtection="1">
      <alignment horizontal="left"/>
    </xf>
    <xf numFmtId="0" fontId="3" fillId="0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C7" sqref="C7:D7"/>
    </sheetView>
  </sheetViews>
  <sheetFormatPr defaultColWidth="7.65" defaultRowHeight="16.8" customHeight="1"/>
  <cols>
    <col min="1" max="1" width="4.26666666666667" style="2" customWidth="1"/>
    <col min="2" max="2" width="8.23333333333333" style="2" customWidth="1"/>
    <col min="3" max="3" width="22.2916666666667" style="3" customWidth="1"/>
    <col min="4" max="4" width="44.2416666666667" style="3" customWidth="1"/>
    <col min="5" max="5" width="11.9083333333333" style="3" customWidth="1"/>
    <col min="6" max="6" width="10.2916666666667" style="4" customWidth="1"/>
    <col min="7" max="7" width="8.15833333333333" style="4" hidden="1"/>
    <col min="8" max="8" width="31.175" style="4" hidden="1" customWidth="1"/>
    <col min="9" max="9" width="59.675" style="3" customWidth="1"/>
    <col min="10" max="10" width="18.2666666666667" style="2" customWidth="1"/>
    <col min="11" max="16384" width="7.65" style="1"/>
  </cols>
  <sheetData>
    <row r="1" ht="17.6" customHeight="1" spans="1:9">
      <c r="A1" s="5" t="s">
        <v>0</v>
      </c>
      <c r="B1" s="5"/>
      <c r="C1" s="5"/>
      <c r="D1" s="5"/>
      <c r="E1" s="5"/>
      <c r="F1" s="6"/>
      <c r="G1" s="6"/>
      <c r="H1" s="6"/>
      <c r="I1" s="5"/>
    </row>
    <row r="2" customHeight="1" spans="1:9">
      <c r="A2" s="5"/>
      <c r="B2" s="5"/>
      <c r="C2" s="5"/>
      <c r="D2" s="5"/>
      <c r="E2" s="5"/>
      <c r="F2" s="6"/>
      <c r="G2" s="6"/>
      <c r="H2" s="6"/>
      <c r="I2" s="5"/>
    </row>
    <row r="3" customHeight="1" spans="1:9">
      <c r="A3" s="7"/>
      <c r="B3" s="7"/>
      <c r="C3" s="7"/>
      <c r="D3" s="7"/>
      <c r="E3" s="7"/>
      <c r="F3" s="8"/>
      <c r="G3" s="8"/>
      <c r="H3" s="8"/>
      <c r="I3" s="7"/>
    </row>
    <row r="4" customHeight="1" spans="1:9">
      <c r="A4" s="9" t="s">
        <v>1</v>
      </c>
      <c r="B4" s="9" t="s">
        <v>2</v>
      </c>
      <c r="C4" s="9" t="s">
        <v>3</v>
      </c>
      <c r="D4" s="9"/>
      <c r="E4" s="10" t="s">
        <v>4</v>
      </c>
      <c r="F4" s="11" t="s">
        <v>5</v>
      </c>
      <c r="G4" s="12" t="s">
        <v>6</v>
      </c>
      <c r="H4" s="12" t="s">
        <v>7</v>
      </c>
      <c r="I4" s="13" t="s">
        <v>8</v>
      </c>
    </row>
    <row r="5" ht="21" customHeight="1" spans="1:9">
      <c r="A5" s="14">
        <v>1</v>
      </c>
      <c r="B5" s="14" t="s">
        <v>9</v>
      </c>
      <c r="C5" s="15" t="s">
        <v>10</v>
      </c>
      <c r="D5" s="16"/>
      <c r="E5" s="17">
        <v>1</v>
      </c>
      <c r="F5" s="18">
        <f t="shared" ref="F5:F33" si="0">E5*1500</f>
        <v>1500</v>
      </c>
      <c r="G5" s="19"/>
      <c r="H5" s="20"/>
      <c r="I5" s="21" t="s">
        <v>11</v>
      </c>
    </row>
    <row r="6" ht="19" customHeight="1" spans="1:9">
      <c r="A6" s="22"/>
      <c r="B6" s="22"/>
      <c r="C6" s="15" t="s">
        <v>12</v>
      </c>
      <c r="D6" s="16"/>
      <c r="E6" s="17">
        <v>1</v>
      </c>
      <c r="F6" s="18">
        <f t="shared" si="0"/>
        <v>1500</v>
      </c>
      <c r="G6" s="19"/>
      <c r="H6" s="20"/>
      <c r="I6" s="21" t="s">
        <v>13</v>
      </c>
    </row>
    <row r="7" ht="19" customHeight="1" spans="1:9">
      <c r="A7" s="22"/>
      <c r="B7" s="22"/>
      <c r="C7" s="23" t="s">
        <v>14</v>
      </c>
      <c r="D7" s="24"/>
      <c r="E7" s="25">
        <v>1</v>
      </c>
      <c r="F7" s="26">
        <f t="shared" si="0"/>
        <v>1500</v>
      </c>
      <c r="G7" s="19"/>
      <c r="H7" s="27"/>
      <c r="I7" s="28" t="s">
        <v>15</v>
      </c>
    </row>
    <row r="8" ht="19" customHeight="1" spans="1:9">
      <c r="A8" s="29">
        <v>2</v>
      </c>
      <c r="B8" s="29" t="s">
        <v>16</v>
      </c>
      <c r="C8" s="21" t="s">
        <v>17</v>
      </c>
      <c r="D8" s="21" t="s">
        <v>18</v>
      </c>
      <c r="E8" s="17">
        <v>2</v>
      </c>
      <c r="F8" s="30">
        <f t="shared" si="0"/>
        <v>3000</v>
      </c>
      <c r="G8" s="31"/>
      <c r="H8" s="32"/>
      <c r="I8" s="33" t="s">
        <v>19</v>
      </c>
    </row>
    <row r="9" ht="19" customHeight="1" spans="1:9">
      <c r="A9" s="29"/>
      <c r="B9" s="29"/>
      <c r="C9" s="21"/>
      <c r="D9" s="21" t="s">
        <v>20</v>
      </c>
      <c r="E9" s="17">
        <v>2</v>
      </c>
      <c r="F9" s="30">
        <f t="shared" si="0"/>
        <v>3000</v>
      </c>
      <c r="G9" s="31"/>
      <c r="H9" s="32"/>
      <c r="I9" s="21" t="s">
        <v>21</v>
      </c>
    </row>
    <row r="10" ht="19" customHeight="1" spans="1:9">
      <c r="A10" s="29"/>
      <c r="B10" s="29"/>
      <c r="C10" s="21"/>
      <c r="D10" s="21" t="s">
        <v>22</v>
      </c>
      <c r="E10" s="17">
        <v>2</v>
      </c>
      <c r="F10" s="30">
        <f t="shared" si="0"/>
        <v>3000</v>
      </c>
      <c r="G10" s="31"/>
      <c r="H10" s="32"/>
      <c r="I10" s="21" t="s">
        <v>23</v>
      </c>
    </row>
    <row r="11" ht="19" customHeight="1" spans="1:9">
      <c r="A11" s="29"/>
      <c r="B11" s="29"/>
      <c r="C11" s="21"/>
      <c r="D11" s="21" t="s">
        <v>24</v>
      </c>
      <c r="E11" s="17">
        <v>1</v>
      </c>
      <c r="F11" s="30">
        <f t="shared" si="0"/>
        <v>1500</v>
      </c>
      <c r="G11" s="31"/>
      <c r="H11" s="32"/>
      <c r="I11" s="21" t="s">
        <v>25</v>
      </c>
    </row>
    <row r="12" ht="19" customHeight="1" spans="1:9">
      <c r="A12" s="29"/>
      <c r="B12" s="29"/>
      <c r="C12" s="21"/>
      <c r="D12" s="21" t="s">
        <v>26</v>
      </c>
      <c r="E12" s="17">
        <v>2</v>
      </c>
      <c r="F12" s="30">
        <f t="shared" si="0"/>
        <v>3000</v>
      </c>
      <c r="G12" s="31"/>
      <c r="H12" s="32"/>
      <c r="I12" s="21" t="s">
        <v>27</v>
      </c>
    </row>
    <row r="13" ht="19" customHeight="1" spans="1:9">
      <c r="A13" s="29"/>
      <c r="B13" s="29"/>
      <c r="C13" s="21" t="s">
        <v>28</v>
      </c>
      <c r="D13" s="21" t="s">
        <v>29</v>
      </c>
      <c r="E13" s="17">
        <v>2</v>
      </c>
      <c r="F13" s="30">
        <f t="shared" si="0"/>
        <v>3000</v>
      </c>
      <c r="G13" s="31"/>
      <c r="H13" s="32"/>
      <c r="I13" s="21" t="s">
        <v>30</v>
      </c>
    </row>
    <row r="14" ht="19" customHeight="1" spans="1:9">
      <c r="A14" s="29"/>
      <c r="B14" s="29"/>
      <c r="C14" s="21"/>
      <c r="D14" s="21" t="s">
        <v>31</v>
      </c>
      <c r="E14" s="17">
        <v>3</v>
      </c>
      <c r="F14" s="30">
        <f t="shared" si="0"/>
        <v>4500</v>
      </c>
      <c r="G14" s="31"/>
      <c r="H14" s="32"/>
      <c r="I14" s="21" t="s">
        <v>32</v>
      </c>
    </row>
    <row r="15" ht="19" customHeight="1" spans="1:9">
      <c r="A15" s="29"/>
      <c r="B15" s="29"/>
      <c r="C15" s="21"/>
      <c r="D15" s="21" t="s">
        <v>33</v>
      </c>
      <c r="E15" s="17">
        <v>7</v>
      </c>
      <c r="F15" s="30">
        <f t="shared" si="0"/>
        <v>10500</v>
      </c>
      <c r="G15" s="31"/>
      <c r="H15" s="32"/>
      <c r="I15" s="21" t="s">
        <v>34</v>
      </c>
    </row>
    <row r="16" ht="19" customHeight="1" spans="1:9">
      <c r="A16" s="29"/>
      <c r="B16" s="29"/>
      <c r="C16" s="21"/>
      <c r="D16" s="21" t="s">
        <v>35</v>
      </c>
      <c r="E16" s="17">
        <v>4</v>
      </c>
      <c r="F16" s="30">
        <f t="shared" si="0"/>
        <v>6000</v>
      </c>
      <c r="G16" s="31"/>
      <c r="H16" s="32"/>
      <c r="I16" s="21" t="s">
        <v>36</v>
      </c>
    </row>
    <row r="17" ht="19" customHeight="1" spans="1:10">
      <c r="A17" s="29"/>
      <c r="B17" s="29"/>
      <c r="C17" s="21"/>
      <c r="D17" s="21" t="s">
        <v>37</v>
      </c>
      <c r="E17" s="17">
        <v>4</v>
      </c>
      <c r="F17" s="30">
        <f t="shared" si="0"/>
        <v>6000</v>
      </c>
      <c r="G17" s="31"/>
      <c r="H17" s="32"/>
      <c r="I17" s="21" t="s">
        <v>38</v>
      </c>
    </row>
    <row r="18" ht="19" customHeight="1" spans="1:10">
      <c r="A18" s="29"/>
      <c r="B18" s="29"/>
      <c r="C18" s="21"/>
      <c r="D18" s="21" t="s">
        <v>39</v>
      </c>
      <c r="E18" s="17">
        <v>6</v>
      </c>
      <c r="F18" s="30">
        <f t="shared" si="0"/>
        <v>9000</v>
      </c>
      <c r="G18" s="31"/>
      <c r="H18" s="32"/>
      <c r="I18" s="21" t="s">
        <v>40</v>
      </c>
    </row>
    <row r="19" ht="19" customHeight="1" spans="1:10">
      <c r="A19" s="29"/>
      <c r="B19" s="29"/>
      <c r="C19" s="21"/>
      <c r="D19" s="21" t="s">
        <v>41</v>
      </c>
      <c r="E19" s="17">
        <v>2</v>
      </c>
      <c r="F19" s="30">
        <f t="shared" si="0"/>
        <v>3000</v>
      </c>
      <c r="G19" s="31"/>
      <c r="H19" s="32"/>
      <c r="I19" s="21" t="s">
        <v>42</v>
      </c>
    </row>
    <row r="20" ht="19" customHeight="1" spans="1:10">
      <c r="A20" s="29"/>
      <c r="B20" s="29"/>
      <c r="C20" s="21" t="s">
        <v>43</v>
      </c>
      <c r="D20" s="21" t="s">
        <v>44</v>
      </c>
      <c r="E20" s="17">
        <v>3</v>
      </c>
      <c r="F20" s="30">
        <f t="shared" si="0"/>
        <v>4500</v>
      </c>
      <c r="G20" s="31"/>
      <c r="H20" s="32"/>
      <c r="I20" s="21" t="s">
        <v>45</v>
      </c>
    </row>
    <row r="21" ht="19" customHeight="1" spans="1:10">
      <c r="A21" s="29"/>
      <c r="B21" s="29"/>
      <c r="C21" s="21"/>
      <c r="D21" s="21" t="s">
        <v>46</v>
      </c>
      <c r="E21" s="17">
        <v>2</v>
      </c>
      <c r="F21" s="30">
        <f t="shared" si="0"/>
        <v>3000</v>
      </c>
      <c r="G21" s="31"/>
      <c r="H21" s="32"/>
      <c r="I21" s="21" t="s">
        <v>47</v>
      </c>
    </row>
    <row r="22" ht="19" customHeight="1" spans="1:10">
      <c r="A22" s="29"/>
      <c r="B22" s="29"/>
      <c r="C22" s="21"/>
      <c r="D22" s="21" t="s">
        <v>48</v>
      </c>
      <c r="E22" s="17">
        <v>1</v>
      </c>
      <c r="F22" s="30">
        <f t="shared" si="0"/>
        <v>1500</v>
      </c>
      <c r="G22" s="31"/>
      <c r="H22" s="32"/>
      <c r="I22" s="21" t="s">
        <v>49</v>
      </c>
    </row>
    <row r="23" ht="19" customHeight="1" spans="1:10">
      <c r="A23" s="29"/>
      <c r="B23" s="29"/>
      <c r="C23" s="21"/>
      <c r="D23" s="21" t="s">
        <v>50</v>
      </c>
      <c r="E23" s="17">
        <v>2</v>
      </c>
      <c r="F23" s="30">
        <f t="shared" si="0"/>
        <v>3000</v>
      </c>
      <c r="G23" s="31"/>
      <c r="H23" s="32"/>
      <c r="I23" s="21" t="s">
        <v>51</v>
      </c>
    </row>
    <row r="24" ht="19" customHeight="1" spans="1:10">
      <c r="A24" s="29"/>
      <c r="B24" s="29"/>
      <c r="C24" s="21"/>
      <c r="D24" s="21" t="s">
        <v>52</v>
      </c>
      <c r="E24" s="17">
        <v>1</v>
      </c>
      <c r="F24" s="30">
        <f t="shared" si="0"/>
        <v>1500</v>
      </c>
      <c r="G24" s="31"/>
      <c r="H24" s="32"/>
      <c r="I24" s="21" t="s">
        <v>53</v>
      </c>
    </row>
    <row r="25" ht="19" customHeight="1" spans="1:10">
      <c r="A25" s="29"/>
      <c r="B25" s="29"/>
      <c r="C25" s="21" t="s">
        <v>54</v>
      </c>
      <c r="D25" s="21" t="s">
        <v>55</v>
      </c>
      <c r="E25" s="17">
        <v>1</v>
      </c>
      <c r="F25" s="30">
        <f t="shared" si="0"/>
        <v>1500</v>
      </c>
      <c r="G25" s="31"/>
      <c r="H25" s="32"/>
      <c r="I25" s="21" t="s">
        <v>56</v>
      </c>
    </row>
    <row r="26" ht="19" customHeight="1" spans="1:10">
      <c r="A26" s="29"/>
      <c r="B26" s="29"/>
      <c r="C26" s="21"/>
      <c r="D26" s="21" t="s">
        <v>57</v>
      </c>
      <c r="E26" s="17">
        <v>2</v>
      </c>
      <c r="F26" s="30">
        <f t="shared" si="0"/>
        <v>3000</v>
      </c>
      <c r="G26" s="31"/>
      <c r="H26" s="32"/>
      <c r="I26" s="21" t="s">
        <v>58</v>
      </c>
    </row>
    <row r="27" ht="19" customHeight="1" spans="1:10">
      <c r="A27" s="29"/>
      <c r="B27" s="29"/>
      <c r="C27" s="21"/>
      <c r="D27" s="21" t="s">
        <v>59</v>
      </c>
      <c r="E27" s="17">
        <v>1</v>
      </c>
      <c r="F27" s="30">
        <f t="shared" si="0"/>
        <v>1500</v>
      </c>
      <c r="G27" s="31"/>
      <c r="H27" s="32"/>
      <c r="I27" s="21" t="s">
        <v>60</v>
      </c>
      <c r="J27" s="34"/>
    </row>
    <row r="28" s="1" customFormat="1" customHeight="1" spans="1:10">
      <c r="A28" s="29">
        <v>3</v>
      </c>
      <c r="B28" s="29" t="s">
        <v>61</v>
      </c>
      <c r="C28" s="21" t="s">
        <v>62</v>
      </c>
      <c r="D28" s="21" t="s">
        <v>63</v>
      </c>
      <c r="E28" s="17">
        <v>1</v>
      </c>
      <c r="F28" s="30">
        <f t="shared" si="0"/>
        <v>1500</v>
      </c>
      <c r="G28" s="31"/>
      <c r="H28" s="32"/>
      <c r="I28" s="21" t="s">
        <v>64</v>
      </c>
      <c r="J28" s="35"/>
    </row>
    <row r="29" s="1" customFormat="1" customHeight="1" spans="1:10">
      <c r="A29" s="29"/>
      <c r="B29" s="29"/>
      <c r="C29" s="21" t="s">
        <v>62</v>
      </c>
      <c r="D29" s="21" t="s">
        <v>65</v>
      </c>
      <c r="E29" s="17">
        <v>1</v>
      </c>
      <c r="F29" s="30">
        <f t="shared" si="0"/>
        <v>1500</v>
      </c>
      <c r="G29" s="31"/>
      <c r="H29" s="32"/>
      <c r="I29" s="21" t="s">
        <v>66</v>
      </c>
      <c r="J29" s="35"/>
    </row>
    <row r="30" s="1" customFormat="1" customHeight="1" spans="1:10">
      <c r="A30" s="29"/>
      <c r="B30" s="29"/>
      <c r="C30" s="21" t="s">
        <v>62</v>
      </c>
      <c r="D30" s="21" t="s">
        <v>67</v>
      </c>
      <c r="E30" s="17">
        <v>2</v>
      </c>
      <c r="F30" s="30">
        <f t="shared" si="0"/>
        <v>3000</v>
      </c>
      <c r="G30" s="31"/>
      <c r="H30" s="32"/>
      <c r="I30" s="21" t="s">
        <v>68</v>
      </c>
      <c r="J30" s="35"/>
    </row>
    <row r="31" s="1" customFormat="1" customHeight="1" spans="1:10">
      <c r="A31" s="29"/>
      <c r="B31" s="29"/>
      <c r="C31" s="21" t="s">
        <v>62</v>
      </c>
      <c r="D31" s="21" t="s">
        <v>69</v>
      </c>
      <c r="E31" s="17">
        <v>1</v>
      </c>
      <c r="F31" s="30">
        <f t="shared" si="0"/>
        <v>1500</v>
      </c>
      <c r="G31" s="31"/>
      <c r="H31" s="32"/>
      <c r="I31" s="21" t="s">
        <v>70</v>
      </c>
      <c r="J31" s="35"/>
    </row>
    <row r="32" s="1" customFormat="1" customHeight="1" spans="1:10">
      <c r="A32" s="29"/>
      <c r="B32" s="29"/>
      <c r="C32" s="21" t="s">
        <v>62</v>
      </c>
      <c r="D32" s="21" t="s">
        <v>71</v>
      </c>
      <c r="E32" s="36">
        <v>1</v>
      </c>
      <c r="F32" s="30">
        <f t="shared" si="0"/>
        <v>1500</v>
      </c>
      <c r="G32" s="31"/>
      <c r="H32" s="32"/>
      <c r="I32" s="21" t="s">
        <v>72</v>
      </c>
      <c r="J32" s="35"/>
    </row>
    <row r="33" s="1" customFormat="1" customHeight="1" spans="1:10">
      <c r="A33" s="29">
        <v>4</v>
      </c>
      <c r="B33" s="29" t="s">
        <v>73</v>
      </c>
      <c r="C33" s="21" t="s">
        <v>74</v>
      </c>
      <c r="D33" s="21" t="s">
        <v>75</v>
      </c>
      <c r="E33" s="36">
        <v>2</v>
      </c>
      <c r="F33" s="30">
        <f t="shared" si="0"/>
        <v>3000</v>
      </c>
      <c r="G33" s="31"/>
      <c r="H33" s="32"/>
      <c r="I33" s="33"/>
      <c r="J33" s="35"/>
    </row>
    <row r="34" s="1" customFormat="1" customHeight="1" spans="1:10">
      <c r="A34" s="29"/>
      <c r="B34" s="29"/>
      <c r="C34" s="21" t="s">
        <v>74</v>
      </c>
      <c r="D34" s="21" t="s">
        <v>76</v>
      </c>
      <c r="E34" s="36"/>
      <c r="F34" s="37"/>
      <c r="G34" s="31"/>
      <c r="H34" s="32"/>
      <c r="I34" s="33"/>
      <c r="J34" s="35"/>
    </row>
    <row r="35" s="1" customFormat="1" customHeight="1" spans="1:10">
      <c r="A35" s="29">
        <v>5</v>
      </c>
      <c r="B35" s="29" t="s">
        <v>77</v>
      </c>
      <c r="C35" s="33" t="s">
        <v>78</v>
      </c>
      <c r="D35" s="38"/>
      <c r="E35" s="36" t="s">
        <v>79</v>
      </c>
      <c r="F35" s="30">
        <f>F36*0.1</f>
        <v>9150</v>
      </c>
      <c r="G35" s="31"/>
      <c r="H35" s="32"/>
      <c r="I35" s="33" t="s">
        <v>80</v>
      </c>
      <c r="J35" s="35"/>
    </row>
    <row r="36" s="1" customFormat="1" customHeight="1" spans="1:10">
      <c r="A36" s="39" t="s">
        <v>81</v>
      </c>
      <c r="B36" s="39"/>
      <c r="C36" s="39"/>
      <c r="D36" s="39"/>
      <c r="E36" s="29">
        <f>SUM(E5:E35)</f>
        <v>61</v>
      </c>
      <c r="F36" s="30">
        <f>SUM(F5:F34)</f>
        <v>91500</v>
      </c>
      <c r="G36" s="40"/>
      <c r="H36" s="32"/>
      <c r="I36" s="41"/>
      <c r="J36" s="35"/>
    </row>
    <row r="37" s="1" customFormat="1" customHeight="1" spans="1:10">
      <c r="A37" s="42" t="s">
        <v>82</v>
      </c>
      <c r="B37" s="42"/>
      <c r="C37" s="42"/>
      <c r="D37" s="42"/>
      <c r="E37" s="42"/>
      <c r="F37" s="42"/>
      <c r="G37" s="42"/>
      <c r="H37" s="42"/>
      <c r="I37" s="42"/>
      <c r="J37" s="35"/>
    </row>
    <row r="38" customHeight="1" spans="1:10">
      <c r="J38" s="34"/>
    </row>
    <row r="39" customHeight="1" spans="1:10">
      <c r="J39" s="34"/>
    </row>
    <row r="43" customHeight="1" spans="1:10">
      <c r="D43" s="43"/>
    </row>
  </sheetData>
  <mergeCells count="26">
    <mergeCell ref="A3:I3"/>
    <mergeCell ref="C4:D4"/>
    <mergeCell ref="C5:D5"/>
    <mergeCell ref="C6:D6"/>
    <mergeCell ref="C7:D7"/>
    <mergeCell ref="C35:D35"/>
    <mergeCell ref="A36:D36"/>
    <mergeCell ref="A37:I37"/>
    <mergeCell ref="A5:A7"/>
    <mergeCell ref="A8:A27"/>
    <mergeCell ref="A28:A32"/>
    <mergeCell ref="A33:A34"/>
    <mergeCell ref="B5:B7"/>
    <mergeCell ref="B8:B27"/>
    <mergeCell ref="B28:B32"/>
    <mergeCell ref="B33:B34"/>
    <mergeCell ref="C8:C12"/>
    <mergeCell ref="C13:C19"/>
    <mergeCell ref="C20:C24"/>
    <mergeCell ref="C25:C27"/>
    <mergeCell ref="E33:E34"/>
    <mergeCell ref="F33:F34"/>
    <mergeCell ref="G33:G34"/>
    <mergeCell ref="H33:H34"/>
    <mergeCell ref="I33:I34"/>
    <mergeCell ref="A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深圳小阔日化股份有限公司线下店群活动核销AI项目实施报价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WPS_1555552704</cp:lastModifiedBy>
  <dcterms:created xsi:type="dcterms:W3CDTF">2026-07-29T18:04:00Z</dcterms:created>
  <dcterms:modified xsi:type="dcterms:W3CDTF">2026-08-11T06:29:37Z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73CFBA8573B96E3EB01B686A1D0386A0_43</vt:lpwstr>
  </property>
</Properties>
</file>