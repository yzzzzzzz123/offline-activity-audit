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<sst xmlns="http://schemas.openxmlformats.org/spreadsheetml/2006/main" count="252" uniqueCount="91">
  <si>
    <t>客户名称</t>
  </si>
  <si>
    <t>业务日期</t>
  </si>
  <si>
    <t>客户编码</t>
  </si>
  <si>
    <t>商品编码</t>
  </si>
  <si>
    <t>商品名称</t>
  </si>
  <si>
    <t>条形码</t>
  </si>
  <si>
    <t>品牌</t>
  </si>
  <si>
    <t>单位</t>
  </si>
  <si>
    <t>含税金额</t>
  </si>
  <si>
    <t>数量</t>
  </si>
  <si>
    <t>零售价</t>
  </si>
  <si>
    <t>合计金额</t>
  </si>
  <si>
    <t>东莞市诚成行供应链管理有限公司</t>
  </si>
  <si>
    <t>2026-04-01 至 2026-04-30</t>
  </si>
  <si>
    <t>0227</t>
  </si>
  <si>
    <t>020260012</t>
  </si>
  <si>
    <t>参半oralshark-SP1高山茉莉味科研白牙膏180g</t>
  </si>
  <si>
    <t>参半</t>
  </si>
  <si>
    <t>支</t>
  </si>
  <si>
    <t>020260011</t>
  </si>
  <si>
    <t>参半oralshark-SP1玫瑰清茶味净清新牙膏180g</t>
  </si>
  <si>
    <t>020260009</t>
  </si>
  <si>
    <t>参半oralshark-SP2凝香茉莉味氨基酸牙膏180g</t>
  </si>
  <si>
    <t>020260007</t>
  </si>
  <si>
    <t>参半oralshark-SP2十里晚香味益清新牙膏180g</t>
  </si>
  <si>
    <t>020260008</t>
  </si>
  <si>
    <t>参半oralshark-SP3清水白桃味星璨白牙膏160g</t>
  </si>
  <si>
    <t>020260013</t>
  </si>
  <si>
    <t>参半oralshark-SP4倍感薄荷味清新牙膏120g</t>
  </si>
  <si>
    <t>020260010</t>
  </si>
  <si>
    <t>参半oralshark-SP4美白牙膏120g</t>
  </si>
  <si>
    <t>020260031</t>
  </si>
  <si>
    <t>参半oralshark口气清新护理3+2量贩装160g+160g+100g</t>
  </si>
  <si>
    <t>020260037</t>
  </si>
  <si>
    <t>参半oralshark臻白沁香1+2特享装牙膏（小苏打160g+西柚100g+龙井100g）</t>
  </si>
  <si>
    <t>030160008</t>
  </si>
  <si>
    <t>参半白巧棒牙刷（单支装 ）代言人</t>
  </si>
  <si>
    <t>参半牙刷</t>
  </si>
  <si>
    <t>020260034</t>
  </si>
  <si>
    <t>参半倍养护牙膏100g</t>
  </si>
  <si>
    <t>020260005</t>
  </si>
  <si>
    <t>参半草莓优格味儿童乳酸菌牙膏60g</t>
  </si>
  <si>
    <t>020260015</t>
  </si>
  <si>
    <t>参半多效清新口腔喷雾（劲爽薄荷）20ml</t>
  </si>
  <si>
    <t>020260019</t>
  </si>
  <si>
    <t>参半儿童蜜桃味奥拉氟牙膏60g</t>
  </si>
  <si>
    <t>030160005</t>
  </si>
  <si>
    <t>参半儿童泡泡魔法棒牙刷双支装</t>
  </si>
  <si>
    <t>030160004</t>
  </si>
  <si>
    <t>参半儿童宇航员牙刷双支装</t>
  </si>
  <si>
    <t>020260022</t>
  </si>
  <si>
    <t>参半沸石净齿牙膏140g</t>
  </si>
  <si>
    <t>020260023</t>
  </si>
  <si>
    <t>参半沸石美白牙膏140g</t>
  </si>
  <si>
    <t>030160009</t>
  </si>
  <si>
    <t>参半光感密柔牙刷 双支装</t>
  </si>
  <si>
    <t>030160007</t>
  </si>
  <si>
    <t>参半黑巧棒牙刷（单支装 ）代言人</t>
  </si>
  <si>
    <t>020260006</t>
  </si>
  <si>
    <t>参半极光白酵素超值装牙膏(极光白160g+龙井100g)</t>
  </si>
  <si>
    <t>020260016</t>
  </si>
  <si>
    <t>参半可护愈创木香味牙膏160g</t>
  </si>
  <si>
    <t>020260018</t>
  </si>
  <si>
    <t>参半可清火绒草香味牙膏100g</t>
  </si>
  <si>
    <t>020260046</t>
  </si>
  <si>
    <t>参半可益白牙膏葡萄知梨120g</t>
  </si>
  <si>
    <t>020260035</t>
  </si>
  <si>
    <t>参半可益清牙膏葡见茶爽120g</t>
  </si>
  <si>
    <t>030160003</t>
  </si>
  <si>
    <t>参半宽头绵云牙刷双支装</t>
  </si>
  <si>
    <t>020260024</t>
  </si>
  <si>
    <t>参半零度清新牙膏120g</t>
  </si>
  <si>
    <t>030160012</t>
  </si>
  <si>
    <t>参半梦幻绒感牙刷 双支装</t>
  </si>
  <si>
    <t>030160002</t>
  </si>
  <si>
    <t>参半绒感净护牙刷双支装</t>
  </si>
  <si>
    <t>030160001</t>
  </si>
  <si>
    <t>参半星星魔法棒牙刷单支装</t>
  </si>
  <si>
    <t>030160010</t>
  </si>
  <si>
    <t>参半旋风净白牙刷 双支装</t>
  </si>
  <si>
    <t>020260002</t>
  </si>
  <si>
    <t>参半益生菌漱口水-海洋薄荷250ml</t>
  </si>
  <si>
    <t>020260001</t>
  </si>
  <si>
    <t>参半益生菌漱口水-阳光西柚250ml</t>
  </si>
  <si>
    <t>030160011</t>
  </si>
  <si>
    <t>参半羽感宽护牙刷 双支装</t>
  </si>
  <si>
    <t>020260017</t>
  </si>
  <si>
    <t>参半植清尤加利香味牙膏180g</t>
  </si>
  <si>
    <t>020260025</t>
  </si>
  <si>
    <t>参半专研清新美白牙膏100g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</si>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</sst>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0" fillId="0" borderId="1" xfId="0" applyFont="1" applyBorder="1" applyAlignment="1">
      <alignment horizontal="left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603\Desktop\&#32418;&#21253;&#23548;&#20837;&#26597;&#25214;&#26465;&#30721;-&#32467;&#21512;&#26680;&#38144;PO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C2" t="str">
            <v>产品条形码</v>
          </cell>
          <cell r="D2" t="str">
            <v>系统编码</v>
          </cell>
          <cell r="E2" t="str">
            <v>产品</v>
          </cell>
          <cell r="F2" t="str">
            <v>规格</v>
          </cell>
          <cell r="G2" t="str">
            <v>单位</v>
          </cell>
          <cell r="H2" t="str">
            <v>商品图片</v>
          </cell>
          <cell r="I2" t="str">
            <v>厂价
（含税）</v>
          </cell>
          <cell r="J2" t="str">
            <v>零售价</v>
          </cell>
        </row>
        <row r="3">
          <cell r="C3">
            <v>6970356168904</v>
          </cell>
          <cell r="D3" t="str">
            <v>CP-KQ-KP-0015</v>
          </cell>
          <cell r="E3" t="str">
            <v>参半-益生菌清新口腔喷雾20ml-劲爽薄荷胶盒装</v>
          </cell>
          <cell r="F3" t="str">
            <v>20ml</v>
          </cell>
          <cell r="G3" t="str">
            <v>盒</v>
          </cell>
          <cell r="H3" t="str">
            <v>=DISPIMG("ID_88B62301FABE46DDA941CC2FBB548762",1)</v>
          </cell>
          <cell r="I3">
            <v>9.1</v>
          </cell>
          <cell r="J3">
            <v>26</v>
          </cell>
        </row>
        <row r="4">
          <cell r="C4">
            <v>6970356168997</v>
          </cell>
          <cell r="D4" t="str">
            <v>CP-KQ-KP-0014</v>
          </cell>
          <cell r="E4" t="str">
            <v>参半-益生菌清新口腔喷雾20ml-沁润蜜桃胶盒装</v>
          </cell>
          <cell r="F4" t="str">
            <v>20ml</v>
          </cell>
          <cell r="G4" t="str">
            <v>盒</v>
          </cell>
          <cell r="H4" t="str">
            <v>=DISPIMG("ID_4AB4CCE307634642AD78497AAE41C1DB",1)</v>
          </cell>
          <cell r="I4">
            <v>9.1</v>
          </cell>
          <cell r="J4">
            <v>26</v>
          </cell>
        </row>
        <row r="5">
          <cell r="C5">
            <v>6970356160458</v>
          </cell>
          <cell r="D5" t="str">
            <v>CP-KQ-SKS-0041</v>
          </cell>
          <cell r="E5" t="str">
            <v>参半-翠竹青提便携漱口水10条尝鲜胶盒装</v>
          </cell>
          <cell r="F5" t="str">
            <v>120ml</v>
          </cell>
          <cell r="G5" t="str">
            <v>盒</v>
          </cell>
          <cell r="H5" t="str">
            <v>=DISPIMG("ID_3BF5D1B92DD44C5BACAE180AD9B49823",1)</v>
          </cell>
          <cell r="I5">
            <v>5.2</v>
          </cell>
          <cell r="J5">
            <v>14.9</v>
          </cell>
        </row>
        <row r="6">
          <cell r="C6">
            <v>6970356160571</v>
          </cell>
          <cell r="D6" t="str">
            <v>CP-KQ-SKS-0001</v>
          </cell>
          <cell r="E6" t="str">
            <v>参半-阳光西柚便携漱口水10条尝鲜胶盒装</v>
          </cell>
          <cell r="F6" t="str">
            <v>120ml</v>
          </cell>
          <cell r="G6" t="str">
            <v>盒</v>
          </cell>
          <cell r="H6" t="str">
            <v>=DISPIMG("ID_2D49CA6484CD4E66A1B815FEF55687A6",1)</v>
          </cell>
          <cell r="I6">
            <v>5.2</v>
          </cell>
          <cell r="J6">
            <v>14.9</v>
          </cell>
        </row>
        <row r="7">
          <cell r="C7">
            <v>6970356163985</v>
          </cell>
          <cell r="D7" t="str">
            <v>CP-KQ-SKS-0044</v>
          </cell>
          <cell r="E7" t="str">
            <v>参半-益生菌清新漱口水-金郁凤梨10+2超值胶盒装</v>
          </cell>
          <cell r="F7" t="str">
            <v>144ml</v>
          </cell>
          <cell r="G7" t="str">
            <v>盒</v>
          </cell>
          <cell r="H7" t="str">
            <v>=DISPIMG("ID_3B6DF49A8E2644D785B729F9A6CD1662",1)</v>
          </cell>
          <cell r="I7">
            <v>6</v>
          </cell>
          <cell r="J7">
            <v>16.9</v>
          </cell>
        </row>
        <row r="8">
          <cell r="C8">
            <v>6970356163947</v>
          </cell>
          <cell r="D8" t="str">
            <v>CP-KQ-SKS-0045</v>
          </cell>
          <cell r="E8" t="str">
            <v>参半-益生菌清新漱口水-浆果蓝莓10+2超值胶盒装</v>
          </cell>
          <cell r="F8" t="str">
            <v>144ml</v>
          </cell>
          <cell r="G8" t="str">
            <v>盒</v>
          </cell>
          <cell r="H8" t="str">
            <v>=DISPIMG("ID_14E8746431D04526B900522F2544C032",1)</v>
          </cell>
          <cell r="I8">
            <v>6</v>
          </cell>
          <cell r="J8">
            <v>16.9</v>
          </cell>
        </row>
        <row r="9">
          <cell r="C9">
            <v>6970356163992</v>
          </cell>
          <cell r="D9" t="str">
            <v>CP-KQ-SKS-0046</v>
          </cell>
          <cell r="E9" t="str">
            <v>参半-益生菌清新漱口水-20条超享混合胶盒装</v>
          </cell>
          <cell r="F9" t="str">
            <v>240ml</v>
          </cell>
          <cell r="G9" t="str">
            <v>盒</v>
          </cell>
          <cell r="H9" t="str">
            <v>=DISPIMG("ID_5A0626ACA6084E3C9ABBD2642CE00353",1)</v>
          </cell>
          <cell r="I9">
            <v>10.5</v>
          </cell>
          <cell r="J9">
            <v>29.9</v>
          </cell>
        </row>
        <row r="10">
          <cell r="C10">
            <v>6978974200341</v>
          </cell>
          <cell r="D10" t="str">
            <v>CP-KQ-SKS-0169</v>
          </cell>
          <cell r="E10" t="str">
            <v>参半蒜克星漱口水(12ml×10)</v>
          </cell>
          <cell r="F10" t="str">
            <v>12mlx10</v>
          </cell>
          <cell r="G10" t="str">
            <v>袋</v>
          </cell>
          <cell r="H10" t="str">
            <v>=DISPIMG("ID_91E0192F31A942189244FD1419ADD1E6",1)</v>
          </cell>
          <cell r="I10">
            <v>7.9</v>
          </cell>
          <cell r="J10">
            <v>19.9</v>
          </cell>
        </row>
        <row r="11">
          <cell r="C11">
            <v>6970356164548</v>
          </cell>
          <cell r="D11" t="str">
            <v>KQ-SKS-0029</v>
          </cell>
          <cell r="E11" t="str">
            <v>参半益生菌漱口水-阳光西柚 250ml</v>
          </cell>
          <cell r="F11" t="str">
            <v>250ml</v>
          </cell>
          <cell r="G11" t="str">
            <v>瓶</v>
          </cell>
          <cell r="H11" t="str">
            <v>=DISPIMG("ID_088BD63FECD84F548BFBA6F15395546C",1)</v>
          </cell>
          <cell r="I11">
            <v>7</v>
          </cell>
          <cell r="J11">
            <v>19.9</v>
          </cell>
        </row>
        <row r="12">
          <cell r="C12">
            <v>6970356165453</v>
          </cell>
          <cell r="D12" t="str">
            <v>KQ-SKS-0019</v>
          </cell>
          <cell r="E12" t="str">
            <v>参半益生菌漱口水-海洋薄荷 250ml</v>
          </cell>
          <cell r="F12" t="str">
            <v>250ml</v>
          </cell>
          <cell r="G12" t="str">
            <v>瓶</v>
          </cell>
          <cell r="H12" t="str">
            <v>=DISPIMG("ID_41D7F7C59C2C4ECCA9EEAE1BB8406BBE",1)</v>
          </cell>
          <cell r="I12">
            <v>7</v>
          </cell>
          <cell r="J12">
            <v>19.9</v>
          </cell>
        </row>
        <row r="13">
          <cell r="C13">
            <v>6970356169673</v>
          </cell>
          <cell r="D13" t="str">
            <v>KQ-SKS-0008</v>
          </cell>
          <cell r="E13" t="str">
            <v>参半益生菌漱口水-阳光西柚 500ml</v>
          </cell>
          <cell r="F13" t="str">
            <v>500ml</v>
          </cell>
          <cell r="G13" t="str">
            <v>瓶</v>
          </cell>
          <cell r="H13" t="str">
            <v>=DISPIMG("ID_F3D32D5F291B42409C8B2D3BA49840C6",1)</v>
          </cell>
          <cell r="I13">
            <v>14</v>
          </cell>
          <cell r="J13">
            <v>39.9</v>
          </cell>
        </row>
        <row r="14">
          <cell r="C14">
            <v>6970356166504</v>
          </cell>
          <cell r="D14" t="str">
            <v>KQ-SKS-0007</v>
          </cell>
          <cell r="E14" t="str">
            <v>参半益生菌漱口水-海洋薄荷 500ml</v>
          </cell>
          <cell r="F14" t="str">
            <v>500ml</v>
          </cell>
          <cell r="G14" t="str">
            <v>瓶</v>
          </cell>
          <cell r="H14" t="str">
            <v>=DISPIMG("ID_07B8815177BB4EBFACD497979DAA0716",1)</v>
          </cell>
          <cell r="I14">
            <v>14</v>
          </cell>
          <cell r="J14">
            <v>39.9</v>
          </cell>
        </row>
        <row r="15">
          <cell r="C15">
            <v>6970356161455</v>
          </cell>
          <cell r="D15" t="str">
            <v>KQ-YX-0011</v>
          </cell>
          <cell r="E15" t="str">
            <v>参半果味牙线100只——薄荷</v>
          </cell>
          <cell r="F15" t="str">
            <v>100支</v>
          </cell>
          <cell r="G15" t="str">
            <v>袋</v>
          </cell>
          <cell r="H15" t="str">
            <v>=DISPIMG("ID_A9FE092DCDFD4A47925200B9657786BA",1)</v>
          </cell>
          <cell r="I15">
            <v>5</v>
          </cell>
          <cell r="J15">
            <v>12.9</v>
          </cell>
        </row>
        <row r="16">
          <cell r="C16">
            <v>6970356161448</v>
          </cell>
          <cell r="D16" t="str">
            <v>KQ-YX-0012</v>
          </cell>
          <cell r="E16" t="str">
            <v>参半果味牙线100只——蜜桃</v>
          </cell>
          <cell r="F16" t="str">
            <v>100支</v>
          </cell>
          <cell r="G16" t="str">
            <v>袋</v>
          </cell>
          <cell r="H16" t="str">
            <v>=DISPIMG("ID_FC1ACDD265684DEB9AFF33808DEEA1C4",1)</v>
          </cell>
          <cell r="I16">
            <v>5</v>
          </cell>
          <cell r="J16">
            <v>12.9</v>
          </cell>
        </row>
        <row r="17">
          <cell r="C17">
            <v>6970356166894</v>
          </cell>
          <cell r="D17" t="str">
            <v>CP-GJ-YX-0001</v>
          </cell>
          <cell r="E17" t="str">
            <v>参半高韧牙线棒-50只装 (蓝色）</v>
          </cell>
          <cell r="F17" t="str">
            <v>50只</v>
          </cell>
          <cell r="G17" t="str">
            <v>盒</v>
          </cell>
          <cell r="H17" t="str">
            <v>=DISPIMG("ID_2BBB0B8987044ACC9A7E67F3154B64DF",1)</v>
          </cell>
          <cell r="I17">
            <v>3.3</v>
          </cell>
          <cell r="J17">
            <v>9.9</v>
          </cell>
        </row>
        <row r="18">
          <cell r="C18">
            <v>6970356166894</v>
          </cell>
          <cell r="D18" t="str">
            <v>CP-GJ-YX-0002</v>
          </cell>
          <cell r="E18" t="str">
            <v>参半高韧牙线棒-50只装 (橙色）</v>
          </cell>
          <cell r="F18" t="str">
            <v>50只</v>
          </cell>
          <cell r="G18" t="str">
            <v>盒</v>
          </cell>
          <cell r="H18" t="str">
            <v>=DISPIMG("ID_89EF49B5A8264A52B6B84B9338AD7BF2",1)</v>
          </cell>
          <cell r="I18">
            <v>3.3</v>
          </cell>
          <cell r="J18">
            <v>9.9</v>
          </cell>
        </row>
        <row r="19">
          <cell r="C19">
            <v>6978974200310</v>
          </cell>
          <cell r="D19" t="str">
            <v>CP-GJ-YX-0132</v>
          </cell>
          <cell r="E19" t="str">
            <v>参半细韧牙线棒50支盒装（粉色）</v>
          </cell>
          <cell r="F19" t="str">
            <v>50只</v>
          </cell>
          <cell r="G19" t="str">
            <v>盒</v>
          </cell>
          <cell r="H19" t="str">
            <v>=DISPIMG("ID_E9D6CC4016F64C4CB5D928B93A6D53B9",1)</v>
          </cell>
          <cell r="I19">
            <v>3.16</v>
          </cell>
          <cell r="J19">
            <v>7.9</v>
          </cell>
        </row>
        <row r="20">
          <cell r="C20">
            <v>6978974200310</v>
          </cell>
          <cell r="D20" t="str">
            <v>CP-GJ-YX-0141</v>
          </cell>
          <cell r="E20" t="str">
            <v>参半细韧牙线棒50支盒装（紫色）</v>
          </cell>
          <cell r="F20" t="str">
            <v>50只</v>
          </cell>
          <cell r="G20" t="str">
            <v>盒</v>
          </cell>
          <cell r="H20" t="str">
            <v>=DISPIMG("ID_FCC1770C3E884552835B0EDF035DC264",1)</v>
          </cell>
          <cell r="I20">
            <v>3.16</v>
          </cell>
          <cell r="J20">
            <v>7.9</v>
          </cell>
        </row>
        <row r="21">
          <cell r="C21">
            <v>6970356164395</v>
          </cell>
          <cell r="D21" t="str">
            <v>CP-KQ-YG-0076</v>
          </cell>
          <cell r="E21" t="str">
            <v>参半oralshark极光白沁香1+1超值装牙膏 （极光白160g+龙井100g）</v>
          </cell>
          <cell r="F21" t="str">
            <v>160g+100g</v>
          </cell>
          <cell r="G21" t="str">
            <v>盒</v>
          </cell>
          <cell r="H21" t="str">
            <v>=DISPIMG("ID_BF580B5487A242FC8E050B4F5139B469",1)</v>
          </cell>
          <cell r="I21">
            <v>12</v>
          </cell>
          <cell r="J21">
            <v>39.9</v>
          </cell>
        </row>
        <row r="22">
          <cell r="C22">
            <v>6970356164388</v>
          </cell>
          <cell r="D22" t="str">
            <v>CP-KQ-YG-0080</v>
          </cell>
          <cell r="E22" t="str">
            <v>参半oralshark臻白沁香1+2特享装牙膏（小苏打160g+西柚100g+龙井100g）</v>
          </cell>
          <cell r="F22" t="str">
            <v>160g+100g*2</v>
          </cell>
          <cell r="G22" t="str">
            <v>盒</v>
          </cell>
          <cell r="H22" t="str">
            <v>=DISPIMG("ID_6B39DD25B80D4D6EAD25E63544ECE9EF",1)</v>
          </cell>
          <cell r="I22">
            <v>17</v>
          </cell>
          <cell r="J22">
            <v>59.9</v>
          </cell>
        </row>
        <row r="23">
          <cell r="C23">
            <v>6970356167334</v>
          </cell>
          <cell r="D23" t="str">
            <v>CP-KQ-YG-0084</v>
          </cell>
          <cell r="E23" t="str">
            <v>参半oralshark高山茉莉味科研白牙膏180g</v>
          </cell>
          <cell r="F23" t="str">
            <v>180g</v>
          </cell>
          <cell r="G23" t="str">
            <v>盒</v>
          </cell>
          <cell r="H23" t="str">
            <v>=DISPIMG("ID_1A533C4D75A34A0F8887094AD178C2C2",1)</v>
          </cell>
          <cell r="I23">
            <v>5.6</v>
          </cell>
          <cell r="J23">
            <v>16.9</v>
          </cell>
        </row>
        <row r="24">
          <cell r="C24">
            <v>6970356167341</v>
          </cell>
          <cell r="D24" t="str">
            <v>CP-KQ-YG-0085</v>
          </cell>
          <cell r="E24" t="str">
            <v>参半oralshark玫瑰清茶味净清新牙膏180g</v>
          </cell>
          <cell r="F24" t="str">
            <v>180g</v>
          </cell>
          <cell r="G24" t="str">
            <v>盒</v>
          </cell>
          <cell r="H24" t="str">
            <v>=DISPIMG("ID_E646E99C32A24F70A50F2B426D6F91A3",1)</v>
          </cell>
          <cell r="I24">
            <v>5.6</v>
          </cell>
          <cell r="J24">
            <v>16.9</v>
          </cell>
        </row>
        <row r="25">
          <cell r="C25">
            <v>6970356164203</v>
          </cell>
          <cell r="D25" t="str">
            <v>CP-KQ-YG-0015</v>
          </cell>
          <cell r="E25" t="str">
            <v>参半oralshark十里晚香味益清新牙膏-180g</v>
          </cell>
          <cell r="F25" t="str">
            <v>180g</v>
          </cell>
          <cell r="G25" t="str">
            <v>盒</v>
          </cell>
          <cell r="H25" t="str">
            <v>=DISPIMG("ID_92D0736236EA4700920741183E815DE3",1)</v>
          </cell>
          <cell r="I25">
            <v>8</v>
          </cell>
          <cell r="J25">
            <v>24.9</v>
          </cell>
        </row>
        <row r="26">
          <cell r="C26">
            <v>6970356164241</v>
          </cell>
          <cell r="D26" t="str">
            <v>CP-KQ-YG-0016</v>
          </cell>
          <cell r="E26" t="str">
            <v>参半oralshark凝香茉莉味氨基酸牙膏-180g</v>
          </cell>
          <cell r="F26" t="str">
            <v>180g</v>
          </cell>
          <cell r="G26" t="str">
            <v>盒</v>
          </cell>
          <cell r="H26" t="str">
            <v>=DISPIMG("ID_90108367780A4258A7D186E913186546",1)</v>
          </cell>
          <cell r="I26">
            <v>8</v>
          </cell>
          <cell r="J26">
            <v>24.9</v>
          </cell>
        </row>
        <row r="27">
          <cell r="C27">
            <v>6970356164258</v>
          </cell>
          <cell r="D27" t="str">
            <v>CP-KQ-YG-0438</v>
          </cell>
          <cell r="E27" t="str">
            <v>参半oralshark清水白桃味星璨白牙膏-160g</v>
          </cell>
          <cell r="F27" t="str">
            <v>160g</v>
          </cell>
          <cell r="G27" t="str">
            <v>盒</v>
          </cell>
          <cell r="H27" t="str">
            <v>=DISPIMG("ID_D7E997A9F90F467C865473BFFCC86305",1)</v>
          </cell>
          <cell r="I27">
            <v>9.8</v>
          </cell>
          <cell r="J27">
            <v>29.9</v>
          </cell>
        </row>
        <row r="28">
          <cell r="C28">
            <v>6970356164265</v>
          </cell>
          <cell r="D28" t="str">
            <v>CP-KQ-YG-0439</v>
          </cell>
          <cell r="E28" t="str">
            <v>参半oralshark绿野青提味星钻白牙膏（160g)</v>
          </cell>
          <cell r="F28" t="str">
            <v>160g</v>
          </cell>
          <cell r="G28" t="str">
            <v>盒</v>
          </cell>
          <cell r="H28" t="str">
            <v>=DISPIMG("ID_0B97759E2B834A18907741BED97AD77D",1)</v>
          </cell>
          <cell r="I28">
            <v>9.8</v>
          </cell>
          <cell r="J28">
            <v>29.9</v>
          </cell>
        </row>
        <row r="29">
          <cell r="C29">
            <v>6970356164296</v>
          </cell>
          <cell r="D29" t="str">
            <v>CP-KQ-YG-0460</v>
          </cell>
          <cell r="E29" t="str">
            <v>参半oralshark动感薄荷味清新牙膏-120g</v>
          </cell>
          <cell r="F29" t="str">
            <v>120g</v>
          </cell>
          <cell r="G29" t="str">
            <v>盒</v>
          </cell>
          <cell r="H29" t="str">
            <v>=DISPIMG("ID_6B240FFED84C47688BAEE74F043CFB42",1)</v>
          </cell>
          <cell r="I29">
            <v>13</v>
          </cell>
          <cell r="J29">
            <v>39.9</v>
          </cell>
        </row>
        <row r="30">
          <cell r="C30">
            <v>6970356164289</v>
          </cell>
          <cell r="D30" t="str">
            <v>CP-KQ-YG-0363</v>
          </cell>
          <cell r="E30" t="str">
            <v>参半oralshark美白牙膏-120g</v>
          </cell>
          <cell r="F30" t="str">
            <v>120g</v>
          </cell>
          <cell r="G30" t="str">
            <v>盒</v>
          </cell>
          <cell r="H30" t="str">
            <v>=DISPIMG("ID_5A82C81FF2324BC2966A58F4283BB322",1)</v>
          </cell>
          <cell r="I30">
            <v>13</v>
          </cell>
          <cell r="J30">
            <v>39.9</v>
          </cell>
        </row>
        <row r="31">
          <cell r="C31">
            <v>6970356166832</v>
          </cell>
          <cell r="D31" t="str">
            <v>CP-KQ-YG-0205</v>
          </cell>
          <cell r="E31" t="str">
            <v>参半oralshark满陇桂雨味羟基磷灰石牙膏--100g</v>
          </cell>
          <cell r="F31" t="str">
            <v>100g</v>
          </cell>
          <cell r="G31" t="str">
            <v>盒</v>
          </cell>
          <cell r="H31" t="str">
            <v>=DISPIMG("ID_98141254A5454853BC52E482CD6D4201",1)</v>
          </cell>
          <cell r="I31">
            <v>11.5</v>
          </cell>
          <cell r="J31">
            <v>35.8</v>
          </cell>
        </row>
        <row r="32">
          <cell r="C32">
            <v>6970356167853</v>
          </cell>
          <cell r="D32" t="str">
            <v>CP-KQ-YG-0170</v>
          </cell>
          <cell r="E32" t="str">
            <v>参半可护牙膏 愈创木香味160g</v>
          </cell>
          <cell r="F32" t="str">
            <v>160g</v>
          </cell>
          <cell r="G32" t="str">
            <v>盒</v>
          </cell>
          <cell r="H32" t="str">
            <v>=DISPIMG("ID_B539D717F2674242A7DC7BB6757E4608",1)</v>
          </cell>
          <cell r="I32">
            <v>10</v>
          </cell>
          <cell r="J32">
            <v>29.9</v>
          </cell>
        </row>
        <row r="33">
          <cell r="C33">
            <v>6970356167846</v>
          </cell>
          <cell r="D33" t="str">
            <v>CP-KQ-YG-0171</v>
          </cell>
          <cell r="E33" t="str">
            <v>参半植清牙膏 尤加利香味180g</v>
          </cell>
          <cell r="F33" t="str">
            <v>180g</v>
          </cell>
          <cell r="G33" t="str">
            <v>盒</v>
          </cell>
          <cell r="H33" t="str">
            <v>=DISPIMG("ID_AA32229F1A1B46C6B36A86416DE82309",1)</v>
          </cell>
          <cell r="I33">
            <v>10.6</v>
          </cell>
          <cell r="J33">
            <v>32.5</v>
          </cell>
        </row>
        <row r="34">
          <cell r="C34">
            <v>6970356167839</v>
          </cell>
          <cell r="D34" t="str">
            <v>CP-KQ-YG-0175</v>
          </cell>
          <cell r="E34" t="str">
            <v>参半可清牙膏 火绒草香味--100g</v>
          </cell>
          <cell r="F34" t="str">
            <v>100g</v>
          </cell>
          <cell r="G34" t="str">
            <v>盒</v>
          </cell>
          <cell r="H34" t="str">
            <v>=DISPIMG("ID_990E62003E2F4F17A1E1D594289064AF",1)</v>
          </cell>
          <cell r="I34">
            <v>18</v>
          </cell>
          <cell r="J34">
            <v>39.9</v>
          </cell>
        </row>
        <row r="35">
          <cell r="C35">
            <v>6970356166795</v>
          </cell>
          <cell r="D35" t="str">
            <v>CP-KQ-YG-0069</v>
          </cell>
          <cell r="E35" t="str">
            <v>参半雪山薄荷味深导白牙膏--120g</v>
          </cell>
          <cell r="F35" t="str">
            <v>120g</v>
          </cell>
          <cell r="G35" t="str">
            <v>盒</v>
          </cell>
          <cell r="H35" t="str">
            <v>=DISPIMG("ID_A6486A3231534D009ACDFF095A969495",1)</v>
          </cell>
          <cell r="I35">
            <v>16.5</v>
          </cell>
          <cell r="J35">
            <v>49.9</v>
          </cell>
        </row>
        <row r="36">
          <cell r="C36">
            <v>6970356162391</v>
          </cell>
          <cell r="D36" t="str">
            <v>CP-KQ-YG-0229</v>
          </cell>
          <cell r="E36" t="str">
            <v>参半沸石净齿牙膏140g</v>
          </cell>
          <cell r="F36" t="str">
            <v>140g</v>
          </cell>
          <cell r="G36" t="str">
            <v>盒</v>
          </cell>
          <cell r="H36" t="str">
            <v>=DISPIMG("ID_0021E09A3A64471482FE79D9B73CB406",1)</v>
          </cell>
          <cell r="I36">
            <v>16</v>
          </cell>
          <cell r="J36">
            <v>39.9</v>
          </cell>
        </row>
        <row r="37">
          <cell r="C37">
            <v>6970356162810</v>
          </cell>
          <cell r="D37" t="str">
            <v>CP-KQ-YG-0260</v>
          </cell>
          <cell r="E37" t="str">
            <v>参半沸石美白牙膏140g</v>
          </cell>
          <cell r="F37" t="str">
            <v>140g</v>
          </cell>
          <cell r="G37" t="str">
            <v>盒</v>
          </cell>
          <cell r="H37" t="str">
            <v>=DISPIMG("ID_81BCD8D025CB44C69C37CEB9E54FEFDD",1)</v>
          </cell>
          <cell r="I37">
            <v>16</v>
          </cell>
          <cell r="J37">
            <v>39.9</v>
          </cell>
        </row>
        <row r="38">
          <cell r="C38">
            <v>6970356162919</v>
          </cell>
          <cell r="D38" t="str">
            <v>CP-KQ-YG-0227</v>
          </cell>
          <cell r="E38" t="str">
            <v>参半零度清新牙膏120g</v>
          </cell>
          <cell r="F38" t="str">
            <v>120g</v>
          </cell>
          <cell r="G38" t="str">
            <v>盒</v>
          </cell>
          <cell r="H38" t="str">
            <v>=DISPIMG("ID_7BE25546950146E9AC2CB7069A356943",1)</v>
          </cell>
          <cell r="I38">
            <v>18</v>
          </cell>
          <cell r="J38">
            <v>39.9</v>
          </cell>
        </row>
        <row r="39">
          <cell r="C39">
            <v>6970356162636</v>
          </cell>
          <cell r="D39" t="str">
            <v>CP-KQ-YG-0324</v>
          </cell>
          <cell r="E39" t="str">
            <v>参半专研清新美白牙膏100g--故事款宽管</v>
          </cell>
          <cell r="F39" t="str">
            <v>100g</v>
          </cell>
          <cell r="G39" t="str">
            <v>盒</v>
          </cell>
          <cell r="H39" t="str">
            <v>=DISPIMG("ID_DCE28954ED7440FBA6B4833CA4B69285",1)</v>
          </cell>
          <cell r="I39">
            <v>16</v>
          </cell>
          <cell r="J39">
            <v>39.9</v>
          </cell>
        </row>
        <row r="40">
          <cell r="C40">
            <v>6970356169345</v>
          </cell>
          <cell r="D40" t="str">
            <v>CP-KQ-YG-0341</v>
          </cell>
          <cell r="E40" t="str">
            <v>参半抗牙结石美白牙膏100g</v>
          </cell>
          <cell r="F40" t="str">
            <v>100g</v>
          </cell>
          <cell r="G40" t="str">
            <v>盒</v>
          </cell>
          <cell r="H40" t="str">
            <v>=DISPIMG("ID_7628E137BF074E5AB7481FEFF1BEE4DC",1)</v>
          </cell>
          <cell r="I40">
            <v>15.9</v>
          </cell>
          <cell r="J40">
            <v>39.9</v>
          </cell>
        </row>
        <row r="41">
          <cell r="C41">
            <v>6970356168454</v>
          </cell>
          <cell r="D41" t="str">
            <v>CP-KQ-YG-0524</v>
          </cell>
          <cell r="E41" t="str">
            <v>参半倍养护牙膏100g</v>
          </cell>
          <cell r="F41" t="str">
            <v>100g</v>
          </cell>
          <cell r="G41" t="str">
            <v>盒</v>
          </cell>
          <cell r="H41" t="str">
            <v>=DISPIMG("ID_6A348BF661394F868E1024732B14BF53",1)</v>
          </cell>
          <cell r="I41">
            <v>10.8</v>
          </cell>
          <cell r="J41">
            <v>26.9</v>
          </cell>
        </row>
        <row r="42">
          <cell r="C42">
            <v>6970356169338</v>
          </cell>
          <cell r="D42" t="str">
            <v>CP-KQ-YG-0419</v>
          </cell>
          <cell r="E42" t="str">
            <v>参半可益白牙膏葡萄知梨120g</v>
          </cell>
          <cell r="F42" t="str">
            <v>120g</v>
          </cell>
          <cell r="G42" t="str">
            <v>盒</v>
          </cell>
          <cell r="H42" t="str">
            <v>=DISPIMG("ID_1F5CF17FDEC24DD0AC3AADDC706886A2",1)</v>
          </cell>
          <cell r="I42">
            <v>11.9</v>
          </cell>
          <cell r="J42">
            <v>29.9</v>
          </cell>
        </row>
        <row r="43">
          <cell r="C43">
            <v>6970356169321</v>
          </cell>
          <cell r="D43" t="str">
            <v>CP-KQ-YG-0418</v>
          </cell>
          <cell r="E43" t="str">
            <v>参半可益清牙膏葡见茶爽120g</v>
          </cell>
          <cell r="F43" t="str">
            <v>120g</v>
          </cell>
          <cell r="G43" t="str">
            <v>盒</v>
          </cell>
          <cell r="H43" t="str">
            <v>=DISPIMG("ID_554A3B32D733469D81A484FD2959699F",1)</v>
          </cell>
          <cell r="I43">
            <v>11.9</v>
          </cell>
          <cell r="J43">
            <v>29.9</v>
          </cell>
        </row>
        <row r="44">
          <cell r="C44">
            <v>6970356165255</v>
          </cell>
          <cell r="D44" t="str">
            <v>CP-KQ-YG-0423 </v>
          </cell>
          <cell r="E44" t="str">
            <v>参半oralshark美白牙膏香域茉莉(20g)-线下常规款升级款</v>
          </cell>
          <cell r="F44" t="str">
            <v>20g</v>
          </cell>
          <cell r="G44" t="str">
            <v>盒</v>
          </cell>
          <cell r="H44" t="str">
            <v>=DISPIMG("ID_31AECBF3EEF049C1BF79330D7FD64EBD",1)</v>
          </cell>
          <cell r="I44">
            <v>3</v>
          </cell>
          <cell r="J44">
            <v>9.9</v>
          </cell>
        </row>
        <row r="45">
          <cell r="C45">
            <v>6970356165286</v>
          </cell>
          <cell r="D45" t="str">
            <v>CP-KQ-YG-0462 </v>
          </cell>
          <cell r="E45" t="str">
            <v>参半oralshark清新牙膏动感薄荷味(20g)-线下常规款升级版</v>
          </cell>
          <cell r="F45" t="str">
            <v>20g</v>
          </cell>
          <cell r="G45" t="str">
            <v>盒</v>
          </cell>
          <cell r="H45" t="str">
            <v>=DISPIMG("ID_56BEE892F73148CAAF47404724894D2A",1)</v>
          </cell>
          <cell r="I45">
            <v>3</v>
          </cell>
          <cell r="J45">
            <v>9.9</v>
          </cell>
        </row>
        <row r="46">
          <cell r="C46">
            <v>6970356165927</v>
          </cell>
          <cell r="D46" t="str">
            <v>CP-ETKQ-YG-0003</v>
          </cell>
          <cell r="E46" t="str">
            <v>参半儿童草莓味奥拉氟牙膏--60g</v>
          </cell>
          <cell r="F46" t="str">
            <v>60g</v>
          </cell>
          <cell r="G46" t="str">
            <v>盒</v>
          </cell>
          <cell r="H46" t="str">
            <v>=DISPIMG("ID_FB6523405FDD400A9CF056AEE43A0DF1",1)</v>
          </cell>
          <cell r="I46">
            <v>11</v>
          </cell>
          <cell r="J46">
            <v>31.9</v>
          </cell>
        </row>
        <row r="47">
          <cell r="C47">
            <v>6970356165910</v>
          </cell>
          <cell r="D47" t="str">
            <v>CP-ETKQ-YG-0002</v>
          </cell>
          <cell r="E47" t="str">
            <v>参半儿童蜜桃味奥拉氟牙膏-60g</v>
          </cell>
          <cell r="F47" t="str">
            <v>60g</v>
          </cell>
          <cell r="G47" t="str">
            <v>盒</v>
          </cell>
          <cell r="H47" t="str">
            <v>=DISPIMG("ID_253C6764406543819B64AB3890832F7B",1)</v>
          </cell>
          <cell r="I47">
            <v>10.5</v>
          </cell>
          <cell r="J47">
            <v>29.9</v>
          </cell>
        </row>
        <row r="48">
          <cell r="C48">
            <v>6970356165774</v>
          </cell>
          <cell r="D48" t="str">
            <v>CP-ETKQ-YG-0004</v>
          </cell>
          <cell r="E48" t="str">
            <v>参半儿童防龋牙膏 草莓酸奶味-60g</v>
          </cell>
          <cell r="F48" t="str">
            <v>60g</v>
          </cell>
          <cell r="G48" t="str">
            <v>盒</v>
          </cell>
          <cell r="H48" t="str">
            <v>=DISPIMG("ID_B49A32C6DE8E441AA8498FC8AEF54C15",1)</v>
          </cell>
          <cell r="I48">
            <v>7.2</v>
          </cell>
          <cell r="J48">
            <v>21.9</v>
          </cell>
        </row>
        <row r="49">
          <cell r="C49">
            <v>6970356165934</v>
          </cell>
          <cell r="D49" t="str">
            <v>CP-ETKQ-YG-0005</v>
          </cell>
          <cell r="E49" t="str">
            <v>参半儿童防蛀牙膏/蜜瓜味 60g</v>
          </cell>
          <cell r="F49" t="str">
            <v>60g</v>
          </cell>
          <cell r="G49" t="str">
            <v>盒</v>
          </cell>
          <cell r="H49" t="str">
            <v>=DISPIMG("ID_3F418B72B9AA49AE918885446DFC7A88",1)</v>
          </cell>
          <cell r="I49">
            <v>8.1</v>
          </cell>
          <cell r="J49">
            <v>24.9</v>
          </cell>
        </row>
        <row r="50">
          <cell r="C50">
            <v>6970356163800</v>
          </cell>
          <cell r="D50" t="str">
            <v>CP-ETKQ-YG-0012</v>
          </cell>
          <cell r="E50" t="str">
            <v>参半儿童护釉健牙膏 60g</v>
          </cell>
          <cell r="F50" t="str">
            <v>60g</v>
          </cell>
          <cell r="G50" t="str">
            <v>盒</v>
          </cell>
          <cell r="H50" t="str">
            <v>=DISPIMG("ID_201B223E8E694C30B73112BDC85ACA11",1)</v>
          </cell>
          <cell r="I50">
            <v>9.9</v>
          </cell>
          <cell r="J50">
            <v>29.9</v>
          </cell>
        </row>
        <row r="51">
          <cell r="C51">
            <v>6970356160670</v>
          </cell>
          <cell r="D51" t="str">
            <v>CP-ETKQ-YG-0013</v>
          </cell>
          <cell r="E51" t="str">
            <v>参半游离氟儿童防蛀益齿牙膏 60g-葡萄味</v>
          </cell>
          <cell r="F51" t="str">
            <v>60g</v>
          </cell>
          <cell r="G51" t="str">
            <v>盒</v>
          </cell>
          <cell r="H51" t="str">
            <v>=DISPIMG("ID_E27D0FACD67249B39D860EC3EECCA6A1",1)</v>
          </cell>
          <cell r="I51">
            <v>12</v>
          </cell>
          <cell r="J51">
            <v>29.9</v>
          </cell>
        </row>
        <row r="52">
          <cell r="C52">
            <v>6970356160694</v>
          </cell>
          <cell r="D52" t="str">
            <v>CP-ETKQ-YG-0015</v>
          </cell>
          <cell r="E52" t="str">
            <v>参半儿童防蛀健齿牙膏 60g-草莓味</v>
          </cell>
          <cell r="F52" t="str">
            <v>60g</v>
          </cell>
          <cell r="G52" t="str">
            <v>盒</v>
          </cell>
          <cell r="H52" t="str">
            <v>=DISPIMG("ID_04DB7984572843F293C74A861EB1C590",1)</v>
          </cell>
          <cell r="I52">
            <v>12</v>
          </cell>
          <cell r="J52">
            <v>29.9</v>
          </cell>
        </row>
        <row r="53">
          <cell r="C53">
            <v>6970356160878</v>
          </cell>
          <cell r="D53" t="str">
            <v>老：CP-KQ-YG-0265
新：CP-KQ-YG-0511</v>
          </cell>
          <cell r="E53" t="str">
            <v>参半便携旅套装(1+1+1超值装)</v>
          </cell>
          <cell r="F53" t="str">
            <v>20g+12ml+1支</v>
          </cell>
          <cell r="G53" t="str">
            <v>盒</v>
          </cell>
          <cell r="H53" t="str">
            <v>=DISPIMG("ID_84614156EDA24162BBACDA1D60DEBC30",1)</v>
          </cell>
          <cell r="I53">
            <v>6.7</v>
          </cell>
          <cell r="J53">
            <v>14.9</v>
          </cell>
        </row>
        <row r="54">
          <cell r="C54">
            <v>6970356166979</v>
          </cell>
          <cell r="D54" t="str">
            <v>老：CP-KQ-YG-0070
新：CP-KQ-YG-0523</v>
          </cell>
          <cell r="E54" t="str">
            <v>参半oralshark口气清新护理3+2量贩装</v>
          </cell>
          <cell r="F54" t="str">
            <v>牙膏160g*2/牙膏100g/牙刷2支</v>
          </cell>
          <cell r="G54" t="str">
            <v>盒</v>
          </cell>
          <cell r="H54" t="str">
            <v>=DISPIMG("ID_536FC055F7304296B311CEBBA0F0C6FE",1)</v>
          </cell>
          <cell r="I54">
            <v>20</v>
          </cell>
          <cell r="J54">
            <v>49.9</v>
          </cell>
        </row>
        <row r="55">
          <cell r="C55">
            <v>6970356166429</v>
          </cell>
          <cell r="D55" t="str">
            <v>CP-GJ-SDS-0106</v>
          </cell>
          <cell r="E55" t="str">
            <v>参半星星魔法棒牙刷（单支装）</v>
          </cell>
          <cell r="F55" t="str">
            <v>1支</v>
          </cell>
          <cell r="G55" t="str">
            <v>支</v>
          </cell>
          <cell r="H55" t="str">
            <v>=DISPIMG("ID_413BE1B3456340F2AD54DD96F84A308D",1)</v>
          </cell>
          <cell r="I55">
            <v>7</v>
          </cell>
          <cell r="J55">
            <v>19.9</v>
          </cell>
        </row>
        <row r="56">
          <cell r="C56">
            <v>6970356165156</v>
          </cell>
          <cell r="D56" t="str">
            <v>CP-GJ-SDS-0107</v>
          </cell>
          <cell r="E56" t="str">
            <v>参半绒感净护牙刷（双支装）</v>
          </cell>
          <cell r="F56" t="str">
            <v>2支</v>
          </cell>
          <cell r="G56" t="str">
            <v>支</v>
          </cell>
          <cell r="H56" t="str">
            <v>=DISPIMG("ID_C15D739834834F678BA0BD9135677E77",1)</v>
          </cell>
          <cell r="I56">
            <v>6</v>
          </cell>
          <cell r="J56">
            <v>19.9</v>
          </cell>
        </row>
        <row r="57">
          <cell r="C57">
            <v>6970356165095</v>
          </cell>
          <cell r="D57" t="str">
            <v>CP-GJ-SDS-0004</v>
          </cell>
          <cell r="E57" t="str">
            <v>参半宽头绵云牙刷（双支装）</v>
          </cell>
          <cell r="F57" t="str">
            <v>2支</v>
          </cell>
          <cell r="G57" t="str">
            <v>支</v>
          </cell>
          <cell r="H57" t="str">
            <v>=DISPIMG("ID_192663D1565644029FFC5D0E016CFBCC",1)</v>
          </cell>
          <cell r="I57">
            <v>6</v>
          </cell>
          <cell r="J57">
            <v>19.9</v>
          </cell>
        </row>
        <row r="58">
          <cell r="C58">
            <v>6970356166436</v>
          </cell>
          <cell r="D58" t="str">
            <v>CP-GJ-SDS-0105</v>
          </cell>
          <cell r="E58" t="str">
            <v>参半仙女棒牙刷（单支装）-粉色</v>
          </cell>
          <cell r="F58" t="str">
            <v>1支</v>
          </cell>
          <cell r="G58" t="str">
            <v>支</v>
          </cell>
          <cell r="H58" t="str">
            <v>=DISPIMG("ID_55D8B5F82BE7407FAF7B5AEE31E3188A",1)</v>
          </cell>
          <cell r="I58">
            <v>9.1</v>
          </cell>
          <cell r="J58">
            <v>25.9</v>
          </cell>
        </row>
        <row r="59">
          <cell r="C59">
            <v>6970356166436</v>
          </cell>
          <cell r="D59" t="str">
            <v>CP-GJ-SDS-0008</v>
          </cell>
          <cell r="E59" t="str">
            <v>参半仙女棒牙刷（单支装）-紫色</v>
          </cell>
          <cell r="F59" t="str">
            <v>1支</v>
          </cell>
          <cell r="G59" t="str">
            <v>支</v>
          </cell>
          <cell r="H59" t="str">
            <v>=DISPIMG("ID_0DB8EBD5FA134345A5AF599EA1C63D8E",1)</v>
          </cell>
          <cell r="I59">
            <v>9.1</v>
          </cell>
          <cell r="J59">
            <v>25.9</v>
          </cell>
        </row>
        <row r="60">
          <cell r="C60">
            <v>6970356166436</v>
          </cell>
          <cell r="D60" t="str">
            <v>CP-GJ-SDS-0011</v>
          </cell>
          <cell r="E60" t="str">
            <v>参半仙女棒牙刷（单支装）-黄色</v>
          </cell>
          <cell r="F60" t="str">
            <v>1支</v>
          </cell>
          <cell r="G60" t="str">
            <v>支</v>
          </cell>
          <cell r="H60" t="str">
            <v>=DISPIMG("ID_7EB7192BBD66419BB43701BE9881C3DB",1)</v>
          </cell>
          <cell r="I60">
            <v>9.1</v>
          </cell>
          <cell r="J60">
            <v>25.9</v>
          </cell>
        </row>
        <row r="61">
          <cell r="C61">
            <v>6970356161097</v>
          </cell>
          <cell r="D61" t="str">
            <v>CP-GJ-SDS-0112</v>
          </cell>
          <cell r="E61" t="str">
            <v>参半仙女棒牙刷 (2支装)</v>
          </cell>
          <cell r="F61" t="str">
            <v>2支</v>
          </cell>
          <cell r="G61" t="str">
            <v>支</v>
          </cell>
          <cell r="H61" t="str">
            <v>=DISPIMG("ID_F178319BA7EE411C9A8E905D99C73548",1)</v>
          </cell>
          <cell r="I61">
            <v>13</v>
          </cell>
          <cell r="J61">
            <v>39.9</v>
          </cell>
        </row>
        <row r="62">
          <cell r="C62">
            <v>6970356168225</v>
          </cell>
          <cell r="D62" t="str">
            <v>CP-GJ-SDS-0141</v>
          </cell>
          <cell r="E62" t="str">
            <v>参半果冻派牙刷（3支装）</v>
          </cell>
          <cell r="F62" t="str">
            <v>3支</v>
          </cell>
          <cell r="G62" t="str">
            <v>支</v>
          </cell>
          <cell r="H62" t="str">
            <v>=DISPIMG("ID_158DB262F4EE46A78F691E7C89A36885",1)</v>
          </cell>
          <cell r="I62">
            <v>6.6</v>
          </cell>
          <cell r="J62">
            <v>19.9</v>
          </cell>
        </row>
        <row r="63">
          <cell r="C63">
            <v>6970356165132</v>
          </cell>
          <cell r="D63" t="str">
            <v>CP-GJ-SDS-0003</v>
          </cell>
          <cell r="E63" t="str">
            <v>参半密泡小彩虹牙刷（4支装）</v>
          </cell>
          <cell r="F63" t="str">
            <v>4支</v>
          </cell>
          <cell r="G63" t="str">
            <v>支</v>
          </cell>
          <cell r="H63" t="str">
            <v>=DISPIMG("ID_81707F15151E469A871A5D0A49F15D7C",1)</v>
          </cell>
          <cell r="I63">
            <v>8.7</v>
          </cell>
          <cell r="J63">
            <v>28.9</v>
          </cell>
        </row>
        <row r="64">
          <cell r="C64">
            <v>6970356166443</v>
          </cell>
          <cell r="D64" t="str">
            <v>CP-GJ-SDS-0104</v>
          </cell>
          <cell r="E64" t="str">
            <v>参半多维净白牙刷（3支装）</v>
          </cell>
          <cell r="F64" t="str">
            <v>3支</v>
          </cell>
          <cell r="G64" t="str">
            <v>支</v>
          </cell>
          <cell r="H64" t="str">
            <v>=DISPIMG("ID_C276DAC439F54EE3889D4A094CFE3875",1)</v>
          </cell>
          <cell r="I64">
            <v>7</v>
          </cell>
          <cell r="J64">
            <v>22.9</v>
          </cell>
        </row>
        <row r="65">
          <cell r="C65">
            <v>6970356164753</v>
          </cell>
          <cell r="D65" t="str">
            <v>CP-GJ-SDS-0001</v>
          </cell>
          <cell r="E65" t="str">
            <v>参半云感倍净牙刷（3支装）</v>
          </cell>
          <cell r="F65" t="str">
            <v>3支</v>
          </cell>
          <cell r="G65" t="str">
            <v>支</v>
          </cell>
          <cell r="H65" t="str">
            <v>=DISPIMG("ID_F42F5048B4024602BC29DE5A8B7C7645",1)</v>
          </cell>
          <cell r="I65">
            <v>7.6</v>
          </cell>
          <cell r="J65">
            <v>24.9</v>
          </cell>
        </row>
        <row r="66">
          <cell r="C66">
            <v>6970356162902</v>
          </cell>
          <cell r="D66" t="str">
            <v>CP-GJ-SDS-0159</v>
          </cell>
          <cell r="E66" t="str">
            <v>参半长头牙刷（单支装）</v>
          </cell>
          <cell r="F66" t="str">
            <v>1支</v>
          </cell>
          <cell r="G66" t="str">
            <v>支</v>
          </cell>
          <cell r="H66" t="str">
            <v>=DISPIMG("ID_2B7A0F79DB774B1BBC072A5ECA0F5D99",1)</v>
          </cell>
          <cell r="I66">
            <v>6</v>
          </cell>
          <cell r="J66">
            <v>19.9</v>
          </cell>
        </row>
        <row r="67">
          <cell r="C67">
            <v>6970356164500</v>
          </cell>
          <cell r="D67" t="str">
            <v>CP-GJ-SDS-0157</v>
          </cell>
          <cell r="E67" t="str">
            <v>参半黑巧棒成人牙刷（单支装）</v>
          </cell>
          <cell r="F67" t="str">
            <v>1支</v>
          </cell>
          <cell r="G67" t="str">
            <v>支</v>
          </cell>
          <cell r="H67" t="str">
            <v>=DISPIMG("ID_360AB919C9574BE9B6ED56C74A47940E",1)</v>
          </cell>
          <cell r="I67">
            <v>5</v>
          </cell>
          <cell r="J67">
            <v>16.8</v>
          </cell>
        </row>
        <row r="68">
          <cell r="C68">
            <v>6970356164159</v>
          </cell>
          <cell r="D68" t="str">
            <v>CP-GJ-SDS-0158</v>
          </cell>
          <cell r="E68" t="str">
            <v>参半白巧棒成人牙刷（单支装）</v>
          </cell>
          <cell r="F68" t="str">
            <v>1支</v>
          </cell>
          <cell r="G68" t="str">
            <v>支</v>
          </cell>
          <cell r="H68" t="str">
            <v>=DISPIMG("ID_18DFEB9032C844588988C9E0E96336C3",1)</v>
          </cell>
          <cell r="I68">
            <v>5</v>
          </cell>
          <cell r="J68">
            <v>16.8</v>
          </cell>
        </row>
        <row r="69">
          <cell r="C69">
            <v>6970356169574</v>
          </cell>
          <cell r="D69" t="str">
            <v>CP-GJ-SDS-0165</v>
          </cell>
          <cell r="E69" t="str">
            <v>参半纤薄长头牙刷 （5支装）</v>
          </cell>
          <cell r="F69" t="str">
            <v>5支</v>
          </cell>
          <cell r="G69" t="str">
            <v>支</v>
          </cell>
          <cell r="H69" t="str">
            <v>=DISPIMG("ID_2A0B11EE85F84C03AECD5E4FAE278922",1)</v>
          </cell>
          <cell r="I69">
            <v>10.5</v>
          </cell>
          <cell r="J69">
            <v>29.9</v>
          </cell>
        </row>
        <row r="70">
          <cell r="C70">
            <v>6970356162469</v>
          </cell>
          <cell r="D70" t="str">
            <v>CP-ETGJ-SDS-0010</v>
          </cell>
          <cell r="E70" t="str">
            <v>参半儿童萌趣牙刷（粉）单支装</v>
          </cell>
          <cell r="F70" t="str">
            <v>1支</v>
          </cell>
          <cell r="G70" t="str">
            <v>支</v>
          </cell>
          <cell r="H70" t="str">
            <v>=DISPIMG("ID_082E4F90A28E4B68B39563F98CEA127B",1)</v>
          </cell>
          <cell r="I70">
            <v>4.8</v>
          </cell>
          <cell r="J70">
            <v>15.8</v>
          </cell>
        </row>
        <row r="71">
          <cell r="C71">
            <v>6970356162476</v>
          </cell>
          <cell r="D71" t="str">
            <v>CP-ETGJ-SDS-0011</v>
          </cell>
          <cell r="E71" t="str">
            <v>参半儿童萌趣牙刷（绿）单支装</v>
          </cell>
          <cell r="F71" t="str">
            <v>1支</v>
          </cell>
          <cell r="G71" t="str">
            <v>支</v>
          </cell>
          <cell r="H71" t="str">
            <v>=DISPIMG("ID_6BB68AEE3F184AAD9C38DE86EBE4AF73",1)</v>
          </cell>
          <cell r="I71">
            <v>4.8</v>
          </cell>
          <cell r="J71">
            <v>15.8</v>
          </cell>
        </row>
        <row r="72">
          <cell r="C72">
            <v>6970356165361</v>
          </cell>
          <cell r="D72" t="str">
            <v>CP-ETGJ-SDS-0001</v>
          </cell>
          <cell r="E72" t="str">
            <v>参半儿童Q萌护齿牙刷（双支装）</v>
          </cell>
          <cell r="F72" t="str">
            <v>2支</v>
          </cell>
          <cell r="G72" t="str">
            <v>支</v>
          </cell>
          <cell r="H72" t="str">
            <v>=DISPIMG("ID_AADBF761819344F3A58419C6C1079A77",1)</v>
          </cell>
          <cell r="I72">
            <v>6</v>
          </cell>
          <cell r="J72">
            <v>19.9</v>
          </cell>
        </row>
        <row r="73">
          <cell r="C73">
            <v>6970356166931</v>
          </cell>
          <cell r="D73" t="str">
            <v>CP-ETGJ-SDS-0003</v>
          </cell>
          <cell r="E73" t="str">
            <v>参半儿童宇航员牙刷 (双支装）</v>
          </cell>
          <cell r="F73" t="str">
            <v>2支</v>
          </cell>
          <cell r="G73" t="str">
            <v>支</v>
          </cell>
          <cell r="H73" t="str">
            <v>=DISPIMG("ID_80E33FC2EE9345DCA0A2E6B869D54E7D",1)</v>
          </cell>
          <cell r="I73">
            <v>6</v>
          </cell>
          <cell r="J73">
            <v>19.9</v>
          </cell>
        </row>
        <row r="74">
          <cell r="C74">
            <v>6970356166450</v>
          </cell>
          <cell r="D74" t="str">
            <v>CP-ETGJ-SDS-0002</v>
          </cell>
          <cell r="E74" t="str">
            <v>参半儿童泡泡魔法棒牙刷（2支装）</v>
          </cell>
          <cell r="F74" t="str">
            <v>2支</v>
          </cell>
          <cell r="G74" t="str">
            <v>支</v>
          </cell>
          <cell r="H74" t="str">
            <v>=DISPIMG("ID_560D3CFB948447DAA5500BD5A155AE87",1)</v>
          </cell>
          <cell r="I74">
            <v>7.8</v>
          </cell>
          <cell r="J74">
            <v>25.9</v>
          </cell>
        </row>
        <row r="75">
          <cell r="C75">
            <v>6970356166894</v>
          </cell>
          <cell r="D75" t="str">
            <v>CP-GJ-YX-0125</v>
          </cell>
          <cell r="E75" t="str">
            <v>参半高韧牙线棒50支盒装蜜桃味（代言人）</v>
          </cell>
          <cell r="F75" t="str">
            <v>50只</v>
          </cell>
          <cell r="G75" t="str">
            <v>盒</v>
          </cell>
          <cell r="H75" t="str">
            <v>=DISPIMG("ID_62265005B514499090EE797F4544E8C9",1)</v>
          </cell>
          <cell r="I75">
            <v>3.3</v>
          </cell>
          <cell r="J75">
            <v>9.9</v>
          </cell>
        </row>
        <row r="76">
          <cell r="C76">
            <v>6970356164500</v>
          </cell>
          <cell r="D76" t="str">
            <v>CP-GJ-SDS-0167</v>
          </cell>
          <cell r="E76" t="str">
            <v>参半黑巧棒牙刷（单支装 ）代言人</v>
          </cell>
          <cell r="F76" t="str">
            <v>1支</v>
          </cell>
          <cell r="G76" t="str">
            <v>支</v>
          </cell>
          <cell r="H76" t="str">
            <v>=DISPIMG("ID_57EFCE02E57D45AE81B818F5EB4BA559",1)</v>
          </cell>
          <cell r="I76">
            <v>5</v>
          </cell>
          <cell r="J76">
            <v>16.8</v>
          </cell>
        </row>
        <row r="77">
          <cell r="C77">
            <v>6970356164159</v>
          </cell>
          <cell r="D77" t="str">
            <v>CP-GJ-SDS-0168</v>
          </cell>
          <cell r="E77" t="str">
            <v>参半白巧棒牙刷（单支装 ）代言人</v>
          </cell>
          <cell r="F77" t="str">
            <v>1支</v>
          </cell>
          <cell r="G77" t="str">
            <v>支</v>
          </cell>
          <cell r="H77" t="str">
            <v>=DISPIMG("ID_1349DDF5AA0844298CA6935091AF93FC",1)</v>
          </cell>
          <cell r="I77">
            <v>5</v>
          </cell>
          <cell r="J77">
            <v>16.8</v>
          </cell>
        </row>
        <row r="78">
          <cell r="C78">
            <v>6970356160458</v>
          </cell>
          <cell r="D78" t="str">
            <v>CP-KQ-SKS-0172</v>
          </cell>
          <cell r="E78" t="str">
            <v>参半-翠竹青提便携漱口水10条尝鲜胶盒装 （代言人）</v>
          </cell>
          <cell r="F78" t="str">
            <v>120ml</v>
          </cell>
          <cell r="G78" t="str">
            <v>盒</v>
          </cell>
          <cell r="H78" t="str">
            <v>=DISPIMG("ID_CDFFA01D7D4441B28128F832E9DB9AFE",1)</v>
          </cell>
          <cell r="I78">
            <v>5.2</v>
          </cell>
          <cell r="J78">
            <v>14.9</v>
          </cell>
        </row>
        <row r="79">
          <cell r="C79">
            <v>6970356160571</v>
          </cell>
          <cell r="D79" t="str">
            <v>CP-KQ-SKS-0171</v>
          </cell>
          <cell r="E79" t="str">
            <v>参半-阳光西柚便携漱口水10条尝鲜胶盒装 （代言人）</v>
          </cell>
          <cell r="F79" t="str">
            <v>120ml</v>
          </cell>
          <cell r="G79" t="str">
            <v>盒</v>
          </cell>
          <cell r="H79" t="str">
            <v>=DISPIMG("ID_B2EE64FCD9124422B532C9A98D4FFB3F",1)</v>
          </cell>
          <cell r="I79">
            <v>5.2</v>
          </cell>
          <cell r="J79">
            <v>14.9</v>
          </cell>
        </row>
        <row r="80">
          <cell r="C80">
            <v>6970356162810</v>
          </cell>
          <cell r="D80" t="str">
            <v>CP-KQ-YG-0345</v>
          </cell>
          <cell r="E80" t="str">
            <v>参半沸石美白牙膏140g（代言人）</v>
          </cell>
          <cell r="F80" t="str">
            <v>140g</v>
          </cell>
          <cell r="G80" t="str">
            <v>支</v>
          </cell>
          <cell r="H80" t="str">
            <v>=DISPIMG("ID_D724BC1FEBF841DBBCB65ACE1FF95853",1)</v>
          </cell>
          <cell r="I80">
            <v>16</v>
          </cell>
          <cell r="J80">
            <v>39.9</v>
          </cell>
        </row>
        <row r="81">
          <cell r="C81">
            <v>6970356164241</v>
          </cell>
          <cell r="D81" t="str">
            <v>CP-KQ-YG-0344</v>
          </cell>
          <cell r="E81" t="str">
            <v>参半oralshark凝香茉莉味氨基酸牙膏180g（代言人）</v>
          </cell>
          <cell r="F81" t="str">
            <v>180g</v>
          </cell>
          <cell r="G81" t="str">
            <v>支</v>
          </cell>
          <cell r="H81" t="str">
            <v>=DISPIMG("ID_A337CBE8667A45A09466C43F91602C68",1)</v>
          </cell>
          <cell r="I81">
            <v>8</v>
          </cell>
          <cell r="J81">
            <v>24.9</v>
          </cell>
        </row>
        <row r="82">
          <cell r="C82">
            <v>6970356165224</v>
          </cell>
          <cell r="D82" t="str">
            <v>CP-KQ-YG-0380</v>
          </cell>
          <cell r="E82" t="str">
            <v>参半蜜桃泡泡味星璨白牙膏（若来联名）120g</v>
          </cell>
          <cell r="F82" t="str">
            <v>120g</v>
          </cell>
          <cell r="G82" t="str">
            <v>盒</v>
          </cell>
          <cell r="H82" t="str">
            <v>=DISPIMG("ID_CC7907DF36C2499283681F6E41F21894",1)</v>
          </cell>
          <cell r="I82">
            <v>8.7</v>
          </cell>
          <cell r="J82">
            <v>24.9</v>
          </cell>
        </row>
        <row r="83">
          <cell r="C83">
            <v>6970356165682</v>
          </cell>
          <cell r="D83" t="str">
            <v>CP-KQ-YG-0381</v>
          </cell>
          <cell r="E83" t="str">
            <v>参半淡雪草莓味星光白牙膏（若来联名）120g</v>
          </cell>
          <cell r="F83" t="str">
            <v>120g</v>
          </cell>
          <cell r="G83" t="str">
            <v>盒</v>
          </cell>
          <cell r="H83" t="str">
            <v>=DISPIMG("ID_D08E9A9E191648EBB663F0C856132776",1)</v>
          </cell>
          <cell r="I83">
            <v>8.7</v>
          </cell>
          <cell r="J83">
            <v>24.9</v>
          </cell>
        </row>
        <row r="84">
          <cell r="C84">
            <v>6970356163640</v>
          </cell>
          <cell r="D84" t="str">
            <v>CP-KQ-YG-0283</v>
          </cell>
          <cell r="E84" t="str">
            <v>参半锁白牙膏 沁心白桃味120g（pingu联名款）</v>
          </cell>
          <cell r="F84" t="str">
            <v>120g</v>
          </cell>
          <cell r="G84" t="str">
            <v>盒</v>
          </cell>
          <cell r="H84" t="str">
            <v>=DISPIMG("ID_ED3B3DDBF0EA4AE0AED59BE144B893A7",1)</v>
          </cell>
          <cell r="I84">
            <v>8</v>
          </cell>
          <cell r="J84">
            <v>22.9</v>
          </cell>
        </row>
        <row r="85">
          <cell r="C85">
            <v>6970356163763</v>
          </cell>
          <cell r="D85" t="str">
            <v>CP-KQ-YG-0284</v>
          </cell>
          <cell r="E85" t="str">
            <v>参半锁白牙膏 沁爽青提味120g（pingu联名款）</v>
          </cell>
          <cell r="F85" t="str">
            <v>120g</v>
          </cell>
          <cell r="G85" t="str">
            <v>盒</v>
          </cell>
          <cell r="H85" t="str">
            <v>=DISPIMG("ID_D9A21BE8E7DB4482B18BDB5B78C4EF2D",1)</v>
          </cell>
          <cell r="I85">
            <v>8</v>
          </cell>
          <cell r="J85">
            <v>22.9</v>
          </cell>
        </row>
        <row r="86">
          <cell r="C86">
            <v>6970356164005</v>
          </cell>
          <cell r="D86" t="str">
            <v>CP-KQ-SKS-0161</v>
          </cell>
          <cell r="E86" t="str">
            <v>参半益生菌清新便携漱口水 爆果西瓜味（pingu联名款）5条装</v>
          </cell>
          <cell r="F86" t="str">
            <v>12ml*5</v>
          </cell>
          <cell r="G86" t="str">
            <v>袋</v>
          </cell>
          <cell r="H86" t="str">
            <v>=DISPIMG("ID_AC1E013B053946DFB78EAF8AE6D34DFF",1)</v>
          </cell>
          <cell r="I86">
            <v>4.5</v>
          </cell>
          <cell r="J86">
            <v>12.9</v>
          </cell>
        </row>
        <row r="87">
          <cell r="C87">
            <v>6970356163923</v>
          </cell>
          <cell r="D87" t="str">
            <v>CP-KQ-SKS-0158</v>
          </cell>
          <cell r="E87" t="str">
            <v>参半益生菌清新便携漱口水 可乐冰柠味（pingu联名款）12条胶盒装</v>
          </cell>
          <cell r="F87" t="str">
            <v>12ml*12</v>
          </cell>
          <cell r="G87" t="str">
            <v>盒</v>
          </cell>
          <cell r="H87" t="str">
            <v>=DISPIMG("ID_0941118A4EB14C66B6419AF61609AA48",1)</v>
          </cell>
          <cell r="I87">
            <v>5.6</v>
          </cell>
          <cell r="J87">
            <v>15.9</v>
          </cell>
        </row>
        <row r="88">
          <cell r="C88">
            <v>6970356163961</v>
          </cell>
          <cell r="D88" t="str">
            <v>CP-KQ-SKS-0159</v>
          </cell>
          <cell r="E88" t="str">
            <v>参半益生菌清新便携漱口水 冰萃白桃味（pingu联名款）12条胶盒装</v>
          </cell>
          <cell r="F88" t="str">
            <v>12ml*12</v>
          </cell>
          <cell r="G88" t="str">
            <v>盒</v>
          </cell>
          <cell r="H88" t="str">
            <v>=DISPIMG("ID_CBE39483DB374C178E436083A8B2DC54",1)</v>
          </cell>
          <cell r="I88">
            <v>5.6</v>
          </cell>
          <cell r="J88">
            <v>15.9</v>
          </cell>
        </row>
        <row r="89">
          <cell r="C89">
            <v>6970356164029</v>
          </cell>
          <cell r="D89" t="str">
            <v>CP-KQ-KP-0118</v>
          </cell>
          <cell r="E89" t="str">
            <v>参半益生菌清新口腔喷雾 苹果柚C味（pingu联名款）20ml</v>
          </cell>
          <cell r="F89" t="str">
            <v>20ml</v>
          </cell>
          <cell r="G89" t="str">
            <v>盒</v>
          </cell>
          <cell r="H89" t="str">
            <v>=DISPIMG("ID_8E449D92976A4C379B87D49E5F271475",1)</v>
          </cell>
          <cell r="I89">
            <v>8.7</v>
          </cell>
          <cell r="J89">
            <v>24.9</v>
          </cell>
        </row>
        <row r="90">
          <cell r="C90">
            <v>6970356164050</v>
          </cell>
          <cell r="D90" t="str">
            <v>CP-KQ-KP-0119</v>
          </cell>
          <cell r="E90" t="str">
            <v>参半益生菌清新口腔喷雾 冰萃白桃味（pingu联名款）20ml</v>
          </cell>
          <cell r="F90" t="str">
            <v>20ml</v>
          </cell>
          <cell r="G90" t="str">
            <v>盒</v>
          </cell>
          <cell r="H90" t="str">
            <v>=DISPIMG("ID_AD4F3950F9F84326A088D314F55D5D23",1)</v>
          </cell>
          <cell r="I90">
            <v>8.7</v>
          </cell>
          <cell r="J90">
            <v>24.9</v>
          </cell>
        </row>
        <row r="91">
          <cell r="C91">
            <v>6970356164067</v>
          </cell>
          <cell r="D91" t="str">
            <v>CP-GJ-YX-0117</v>
          </cell>
          <cell r="E91" t="str">
            <v>参半果味清新牙线 海盐薄荷味50支装（pingu联名款）</v>
          </cell>
          <cell r="F91" t="str">
            <v>50只</v>
          </cell>
          <cell r="G91" t="str">
            <v>盒</v>
          </cell>
          <cell r="H91" t="str">
            <v>=DISPIMG("ID_54A04B188B844A63B70C16077E51199F",1)</v>
          </cell>
          <cell r="I91">
            <v>4.5</v>
          </cell>
          <cell r="J91">
            <v>12.9</v>
          </cell>
        </row>
        <row r="92">
          <cell r="C92">
            <v>6970356164074</v>
          </cell>
          <cell r="D92" t="str">
            <v>CP-GJ-YX-0116</v>
          </cell>
          <cell r="E92" t="str">
            <v>参半果味清新牙线 蜜桃味50支装（pingu联名款）</v>
          </cell>
          <cell r="F92" t="str">
            <v>50只</v>
          </cell>
          <cell r="G92" t="str">
            <v>盒</v>
          </cell>
          <cell r="H92" t="str">
            <v>=DISPIMG("ID_EE3CE7D0E7444BDCA636D506B8C6259D",1)</v>
          </cell>
          <cell r="I92">
            <v>4.5</v>
          </cell>
          <cell r="J92">
            <v>12.9</v>
          </cell>
        </row>
        <row r="93">
          <cell r="C93">
            <v>6970356164081</v>
          </cell>
          <cell r="D93" t="str">
            <v>CP-GJ-SDS-0160</v>
          </cell>
          <cell r="E93" t="str">
            <v>参半长头牙刷 单只装黄色（pingu联名款）</v>
          </cell>
          <cell r="F93" t="str">
            <v>1支</v>
          </cell>
          <cell r="G93" t="str">
            <v>支</v>
          </cell>
          <cell r="H93" t="str">
            <v>=DISPIMG("ID_E5988B0243944789B092AAF275F1E139",1)</v>
          </cell>
          <cell r="I93">
            <v>8</v>
          </cell>
          <cell r="J93">
            <v>22.9</v>
          </cell>
        </row>
        <row r="94">
          <cell r="C94">
            <v>6970356164104</v>
          </cell>
          <cell r="D94" t="str">
            <v>CP-GJ-SDS-0161</v>
          </cell>
          <cell r="E94" t="str">
            <v>参半长头牙刷 单只装蓝色（pingu联名款）</v>
          </cell>
          <cell r="F94" t="str">
            <v>1支</v>
          </cell>
          <cell r="G94" t="str">
            <v>支</v>
          </cell>
          <cell r="H94" t="str">
            <v>=DISPIMG("ID_85592D25821C4374AC2BD683FB084087",1)</v>
          </cell>
          <cell r="I94">
            <v>8</v>
          </cell>
          <cell r="J94">
            <v>22.9</v>
          </cell>
        </row>
        <row r="95">
          <cell r="C95">
            <v>6970356168577</v>
          </cell>
          <cell r="D95" t="str">
            <v>CP-KQ-YG-0364</v>
          </cell>
          <cell r="E95" t="str">
            <v>参半专效焕白牙膏 白花绿茶 120g
（非人哉联名款）</v>
          </cell>
          <cell r="F95" t="str">
            <v>120g</v>
          </cell>
          <cell r="G95" t="str">
            <v>盒</v>
          </cell>
          <cell r="H95" t="str">
            <v>=DISPIMG("ID_779EAC655B414142BA454C27EC877B38",1)</v>
          </cell>
          <cell r="I95">
            <v>11.5</v>
          </cell>
          <cell r="J95">
            <v>32.9</v>
          </cell>
        </row>
        <row r="96">
          <cell r="C96">
            <v>6970356168584</v>
          </cell>
          <cell r="D96" t="str">
            <v>CP-KQ-YG-0365</v>
          </cell>
          <cell r="E96" t="str">
            <v>参半长效清新牙膏 柠檬薄荷 120g
（非人哉联名款）</v>
          </cell>
          <cell r="F96" t="str">
            <v>120g</v>
          </cell>
          <cell r="G96" t="str">
            <v>盒</v>
          </cell>
          <cell r="H96" t="str">
            <v>=DISPIMG("ID_3AFF0B6AA6BD4E6E9837FC76CE97F8EC",1)</v>
          </cell>
          <cell r="I96">
            <v>11.5</v>
          </cell>
          <cell r="J96">
            <v>32.9</v>
          </cell>
        </row>
        <row r="97">
          <cell r="C97">
            <v>6970356168591</v>
          </cell>
          <cell r="D97" t="str">
            <v>CP-KQ-SKS-0180</v>
          </cell>
          <cell r="E97" t="str">
            <v>参半益生菌清新便携漱口水 栀子柠檬 156ml（12mlx13条）（非人哉联名款）</v>
          </cell>
          <cell r="F97" t="str">
            <v>12mlx13</v>
          </cell>
          <cell r="G97" t="str">
            <v>盒</v>
          </cell>
          <cell r="H97" t="str">
            <v>=DISPIMG("ID_179B923FD9E246CDBF43578975908031",1)</v>
          </cell>
          <cell r="I97">
            <v>7.7</v>
          </cell>
          <cell r="J97">
            <v>21.9</v>
          </cell>
        </row>
        <row r="98">
          <cell r="C98">
            <v>6970356168607</v>
          </cell>
          <cell r="D98" t="str">
            <v>CP-KQ-SKS-0181</v>
          </cell>
          <cell r="E98" t="str">
            <v>参半益生菌清新便携漱口水 葡萄柚 156ml（12mlx13条）（非人哉联名款）</v>
          </cell>
          <cell r="F98" t="str">
            <v>12mlx13</v>
          </cell>
          <cell r="G98" t="str">
            <v>盒</v>
          </cell>
          <cell r="H98" t="str">
            <v>=DISPIMG("ID_3242E10AA07245429D1049F3B8BD211C",1)</v>
          </cell>
          <cell r="I98">
            <v>7.7</v>
          </cell>
          <cell r="J98">
            <v>21.9</v>
          </cell>
        </row>
        <row r="99">
          <cell r="C99">
            <v>6970356168638</v>
          </cell>
          <cell r="D99" t="str">
            <v>CP-KQ-KP-0125</v>
          </cell>
          <cell r="E99" t="str">
            <v>参半益生菌清新口腔喷雾 沁雪白桃10ml
（非人哉联名款）</v>
          </cell>
          <cell r="F99" t="str">
            <v>10ml</v>
          </cell>
          <cell r="G99" t="str">
            <v>盒</v>
          </cell>
          <cell r="H99" t="str">
            <v>=DISPIMG("ID_927BF7C788C4452298DE727263A8A71D",1)</v>
          </cell>
          <cell r="I99">
            <v>14</v>
          </cell>
          <cell r="J99">
            <v>39.9</v>
          </cell>
        </row>
        <row r="100">
          <cell r="C100">
            <v>6970356168645</v>
          </cell>
          <cell r="D100" t="str">
            <v>CP-KQ-KP-0126</v>
          </cell>
          <cell r="E100" t="str">
            <v>参半益生菌清新口腔喷雾 茉莉白茶 10ml
（非人哉联名款）</v>
          </cell>
          <cell r="F100" t="str">
            <v>10ml</v>
          </cell>
          <cell r="G100" t="str">
            <v>盒</v>
          </cell>
          <cell r="H100" t="str">
            <v>=DISPIMG("ID_FD186BA857ED4868B40E8CEFFF02535E",1)</v>
          </cell>
          <cell r="I100">
            <v>14</v>
          </cell>
          <cell r="J100">
            <v>39.9</v>
          </cell>
        </row>
        <row r="101">
          <cell r="C101">
            <v>6970356168669</v>
          </cell>
          <cell r="D101" t="str">
            <v>CP-GJ-YX-0127</v>
          </cell>
          <cell r="E101" t="str">
            <v>参半果味双线牙线 蟠桃味60支装（非人哉联名款）</v>
          </cell>
          <cell r="F101" t="str">
            <v>60支</v>
          </cell>
          <cell r="G101" t="str">
            <v>盒</v>
          </cell>
          <cell r="H101" t="str">
            <v>=DISPIMG("ID_9848B293A6174A05933823A167F459AF",1)</v>
          </cell>
          <cell r="I101">
            <v>5.6</v>
          </cell>
          <cell r="J101">
            <v>15.9</v>
          </cell>
        </row>
        <row r="102">
          <cell r="C102">
            <v>6970356168652</v>
          </cell>
          <cell r="D102" t="str">
            <v>CP-GJ-YX-0126</v>
          </cell>
          <cell r="E102" t="str">
            <v>参半果味双线牙线 苹果味60支装（非人哉联名款）</v>
          </cell>
          <cell r="F102" t="str">
            <v>60支</v>
          </cell>
          <cell r="G102" t="str">
            <v>盒</v>
          </cell>
          <cell r="H102" t="str">
            <v>=DISPIMG("ID_E1F9F4D29B844B44B68EE4FCBDE12053",1)</v>
          </cell>
          <cell r="I102">
            <v>5.6</v>
          </cell>
          <cell r="J102">
            <v>15.9</v>
          </cell>
        </row>
        <row r="103">
          <cell r="C103">
            <v>6970356168676</v>
          </cell>
          <cell r="D103" t="str">
            <v>CP-GJ-YX-0128</v>
          </cell>
          <cell r="E103" t="str">
            <v>参半高韧牙线 九月款 100支装（非人哉联名款）</v>
          </cell>
          <cell r="F103" t="str">
            <v>100支</v>
          </cell>
          <cell r="G103" t="str">
            <v>盒</v>
          </cell>
          <cell r="H103" t="str">
            <v>=DISPIMG("ID_72CC95005C914164B61F4184D28224BF",1)</v>
          </cell>
          <cell r="I103">
            <v>8</v>
          </cell>
          <cell r="J103">
            <v>22.9</v>
          </cell>
        </row>
        <row r="104">
          <cell r="C104">
            <v>6970356168683</v>
          </cell>
          <cell r="D104" t="str">
            <v>CP-GJ-YX-0129</v>
          </cell>
          <cell r="E104" t="str">
            <v>参半高韧牙线 大士款 100支装（非人哉联名款）</v>
          </cell>
          <cell r="F104" t="str">
            <v>100支</v>
          </cell>
          <cell r="G104" t="str">
            <v>盒</v>
          </cell>
          <cell r="H104" t="str">
            <v>=DISPIMG("ID_374F24CAD5B04B2390B1BAD844E76415",1)</v>
          </cell>
          <cell r="I104">
            <v>8</v>
          </cell>
          <cell r="J104">
            <v>22.9</v>
          </cell>
        </row>
        <row r="105">
          <cell r="C105">
            <v>6970356168690</v>
          </cell>
          <cell r="D105" t="str">
            <v>CP-KQ-YF-0009</v>
          </cell>
          <cell r="E105" t="str">
            <v>参半美白洁牙粉 西柚味 50g（非人哉联名款）</v>
          </cell>
          <cell r="F105" t="str">
            <v>50g</v>
          </cell>
          <cell r="G105" t="str">
            <v>盒</v>
          </cell>
          <cell r="H105" t="str">
            <v>=DISPIMG("ID_91CE3492B9F744B6B98DB51379455E3B",1)</v>
          </cell>
          <cell r="I105">
            <v>9.1</v>
          </cell>
          <cell r="J105">
            <v>25.9</v>
          </cell>
        </row>
        <row r="106">
          <cell r="C106">
            <v>6970356168720</v>
          </cell>
          <cell r="D106" t="str">
            <v>CP-GJ-SDS-0175</v>
          </cell>
          <cell r="E106" t="str">
            <v>参半深洁牙刷 单只装 哮天款（非人哉联名款）</v>
          </cell>
          <cell r="F106" t="str">
            <v>单支装</v>
          </cell>
          <cell r="G106" t="str">
            <v>支</v>
          </cell>
          <cell r="H106" t="str">
            <v>=DISPIMG("ID_3E175DEB5EC84AFB98B913E2928C10D9",1)</v>
          </cell>
          <cell r="I106">
            <v>7.7</v>
          </cell>
          <cell r="J106">
            <v>21.9</v>
          </cell>
        </row>
        <row r="107">
          <cell r="C107">
            <v>6970356168713</v>
          </cell>
          <cell r="D107" t="str">
            <v>CP-GJ-SDS-0174</v>
          </cell>
          <cell r="E107" t="str">
            <v>参半软毛牙刷 单只装 小玉款（非人哉联名款）</v>
          </cell>
          <cell r="F107" t="str">
            <v>单支装</v>
          </cell>
          <cell r="G107" t="str">
            <v>支</v>
          </cell>
          <cell r="H107" t="str">
            <v>=DISPIMG("ID_4F210C42ED044386AD587DA4C0CAC8B5",1)</v>
          </cell>
          <cell r="I107">
            <v>7.7</v>
          </cell>
          <cell r="J107">
            <v>21.9</v>
          </cell>
        </row>
        <row r="108">
          <cell r="C108">
            <v>6970356168706</v>
          </cell>
          <cell r="D108" t="str">
            <v>CP-GJ-SDS-0173</v>
          </cell>
          <cell r="E108" t="str">
            <v>参半三头牙刷 单只装 哪吒款（非人哉联名款）</v>
          </cell>
          <cell r="F108" t="str">
            <v>单支装</v>
          </cell>
          <cell r="G108" t="str">
            <v>支</v>
          </cell>
          <cell r="H108" t="str">
            <v>=DISPIMG("ID_8C610097501D4DF090DAE1900E99619D",1)</v>
          </cell>
          <cell r="I108">
            <v>7.7</v>
          </cell>
          <cell r="J108">
            <v>21.9</v>
          </cell>
        </row>
        <row r="109">
          <cell r="C109">
            <v>6978974200044</v>
          </cell>
          <cell r="D109" t="str">
            <v>CP-KQ-KP-0133</v>
          </cell>
          <cell r="E109" t="str">
            <v>参半益生菌清新口腔喷雾 海盐薄荷味(17ml)非人哉联名款</v>
          </cell>
          <cell r="F109" t="str">
            <v>17ml</v>
          </cell>
          <cell r="G109" t="str">
            <v>盒</v>
          </cell>
          <cell r="H109" t="str">
            <v>=DISPIMG("ID_BFE0899B9B664C1C92681A4A237F18A1",1)</v>
          </cell>
          <cell r="I109">
            <v>10.95</v>
          </cell>
          <cell r="J109">
            <v>21.9</v>
          </cell>
        </row>
        <row r="110">
          <cell r="C110">
            <v>6978974200037</v>
          </cell>
          <cell r="D110" t="str">
            <v>CP-KQ-KP-0134</v>
          </cell>
          <cell r="E110" t="str">
            <v>参半益生菌清新口腔喷雾 幽谷茶香味(17ml)非人哉联名款</v>
          </cell>
          <cell r="F110" t="str">
            <v>17ml</v>
          </cell>
          <cell r="G110" t="str">
            <v>盒</v>
          </cell>
          <cell r="H110" t="str">
            <v>=DISPIMG("ID_4D7D0173FA93427D90108E214D78B1AF",1)</v>
          </cell>
          <cell r="I110">
            <v>10.95</v>
          </cell>
          <cell r="J110">
            <v>21.9</v>
          </cell>
        </row>
        <row r="111">
          <cell r="C111">
            <v>6970356169956</v>
          </cell>
          <cell r="D111" t="str">
            <v>CP-KQ-SKS-0198</v>
          </cell>
          <cell r="E111" t="str">
            <v>参半益生菌清新便携漱口水 混合口味（216ml）非人哉联名款 桶装</v>
          </cell>
          <cell r="F111" t="str">
            <v>216ml
（海盐柠檬味+桃气乌龙味+多酚绿茶味12mlx各6条）</v>
          </cell>
          <cell r="G111" t="str">
            <v>桶</v>
          </cell>
          <cell r="H111" t="str">
            <v>=DISPIMG("ID_155A72E34ACF4A99BB0A99A66017D6BF",1)</v>
          </cell>
          <cell r="I111">
            <v>15.95</v>
          </cell>
          <cell r="J111">
            <v>31.9</v>
          </cell>
        </row>
        <row r="112">
          <cell r="C112">
            <v>6970356169864</v>
          </cell>
          <cell r="D112" t="str">
            <v>CP-KQ-YG-0488</v>
          </cell>
          <cell r="E112" t="str">
            <v>参半清新健白牙膏海风薄荷(100g)-非人哉联名</v>
          </cell>
          <cell r="F112" t="str">
            <v>100g</v>
          </cell>
          <cell r="G112" t="str">
            <v>支</v>
          </cell>
          <cell r="H112" t="str">
            <v>=DISPIMG("ID_DE1FC1ECC4E8410690633DEDD33E8FC2",1)</v>
          </cell>
          <cell r="I112">
            <v>9.95</v>
          </cell>
          <cell r="J112">
            <v>19.9</v>
          </cell>
        </row>
        <row r="113">
          <cell r="C113">
            <v>6970356169871</v>
          </cell>
          <cell r="D113" t="str">
            <v>CP-KQ-YG-0487</v>
          </cell>
          <cell r="E113" t="str">
            <v>参半清新健白牙膏茉莉茶爽(100g)-非人哉联名</v>
          </cell>
          <cell r="F113" t="str">
            <v>100g</v>
          </cell>
          <cell r="G113" t="str">
            <v>支</v>
          </cell>
          <cell r="H113" t="str">
            <v>=DISPIMG("ID_C08DCD82819946F1A96A0EBBAD69335C",1)</v>
          </cell>
          <cell r="I113">
            <v>9.95</v>
          </cell>
          <cell r="J113">
            <v>19.9</v>
          </cell>
        </row>
        <row r="114">
          <cell r="C114">
            <v>6978974201751</v>
          </cell>
          <cell r="D114" t="str">
            <v>CP-ETKQ-YG-0049</v>
          </cell>
          <cell r="E114" t="str">
            <v>参半儿童防蛀健齿牙膏草莓(80g)-线上电商小黄人联名款</v>
          </cell>
          <cell r="F114" t="str">
            <v>80g</v>
          </cell>
          <cell r="G114" t="str">
            <v>支</v>
          </cell>
          <cell r="H114" t="str">
            <v>=DISPIMG("ID_7F3DA468CDC8429887BDAE183F39FBCE",1)</v>
          </cell>
          <cell r="I114">
            <v>16</v>
          </cell>
          <cell r="J114">
            <v>39.9</v>
          </cell>
        </row>
        <row r="115">
          <cell r="C115">
            <v>6978974201713</v>
          </cell>
          <cell r="D115" t="str">
            <v>CP-ETKQ-YG-0044</v>
          </cell>
          <cell r="E115" t="str">
            <v>参半儿童防蛀护齿牙膏蜜桃(80g)-线上电商小黄人联名款</v>
          </cell>
          <cell r="F115" t="str">
            <v>80g</v>
          </cell>
          <cell r="G115" t="str">
            <v>支</v>
          </cell>
          <cell r="H115" t="str">
            <v>=DISPIMG("ID_A705CDD7F1B54666B4AF4457F47BE9C9",1)</v>
          </cell>
          <cell r="I115">
            <v>16</v>
          </cell>
          <cell r="J115">
            <v>39.9</v>
          </cell>
        </row>
        <row r="116">
          <cell r="C116">
            <v>6978974201744</v>
          </cell>
          <cell r="D116" t="str">
            <v>CP-ETKQ-YG-0043</v>
          </cell>
          <cell r="E116" t="str">
            <v>参半儿童防蛀益齿牙膏 葡萄(80g)-线上电商小黄人联名款</v>
          </cell>
          <cell r="F116" t="str">
            <v>80g</v>
          </cell>
          <cell r="G116" t="str">
            <v>支</v>
          </cell>
          <cell r="H116" t="str">
            <v>=DISPIMG("ID_C52437F414FC49B7B8D4B8A13F50597C",1)</v>
          </cell>
          <cell r="I116">
            <v>16</v>
          </cell>
          <cell r="J116">
            <v>39.9</v>
          </cell>
        </row>
        <row r="117">
          <cell r="C117">
            <v>6978974201720</v>
          </cell>
          <cell r="D117" t="str">
            <v>CP-ETKQ-YG-0046</v>
          </cell>
          <cell r="E117" t="str">
            <v>参半儿童维可护牙膏 蔓越莓味(80g)-线上电商小黄人联名款</v>
          </cell>
          <cell r="F117" t="str">
            <v>80g</v>
          </cell>
          <cell r="G117" t="str">
            <v>支</v>
          </cell>
          <cell r="H117" t="str">
            <v>=DISPIMG("ID_FA3669C33B844512A43DE1068C840764",1)</v>
          </cell>
          <cell r="I117">
            <v>16</v>
          </cell>
          <cell r="J117">
            <v>39.9</v>
          </cell>
        </row>
        <row r="118">
          <cell r="C118">
            <v>6978974201737</v>
          </cell>
          <cell r="D118" t="str">
            <v>CP-ETKQ-YG-0045</v>
          </cell>
          <cell r="E118" t="str">
            <v>参半儿童维可护牙膏 葡萄果味(80g)-线上电商小黄人联名款</v>
          </cell>
          <cell r="F118" t="str">
            <v>80g</v>
          </cell>
          <cell r="G118" t="str">
            <v>支</v>
          </cell>
          <cell r="H118" t="str">
            <v>=DISPIMG("ID_729F845EA2354C6AB2C40BF7E34FE88F",1)</v>
          </cell>
          <cell r="I118">
            <v>16</v>
          </cell>
          <cell r="J118">
            <v>39.9</v>
          </cell>
        </row>
        <row r="119">
          <cell r="C119">
            <v>6978974201836</v>
          </cell>
          <cell r="D119" t="str">
            <v>CP-ETGJ-SDS-0024</v>
          </cell>
          <cell r="E119" t="str">
            <v>参半儿童分龄护齿牙刷(单支装)小黄人联名款紫色刷柄</v>
          </cell>
          <cell r="F119" t="str">
            <v>1支</v>
          </cell>
          <cell r="G119" t="str">
            <v>支</v>
          </cell>
          <cell r="H119" t="str">
            <v>=DISPIMG("ID_13F9E4ED671246E1BFA076CA5004D9E1",1)</v>
          </cell>
          <cell r="I119">
            <v>8</v>
          </cell>
          <cell r="J119">
            <v>19.9</v>
          </cell>
        </row>
        <row r="120">
          <cell r="C120">
            <v>6978974201829</v>
          </cell>
          <cell r="D120" t="str">
            <v>CP-ETGJ-SDS-0023</v>
          </cell>
          <cell r="E120" t="str">
            <v>参半儿童分龄护齿牙刷(单支装)小黄人联名款蓝色刷柄</v>
          </cell>
          <cell r="F120" t="str">
            <v>1支</v>
          </cell>
          <cell r="G120" t="str">
            <v>支</v>
          </cell>
          <cell r="H120" t="str">
            <v>=DISPIMG("ID_1CE06516137E4884951EAD1A6006A5CE",1)</v>
          </cell>
          <cell r="I120">
            <v>8</v>
          </cell>
          <cell r="J120">
            <v>19.9</v>
          </cell>
        </row>
        <row r="121">
          <cell r="C121">
            <v>6978974201805</v>
          </cell>
          <cell r="D121" t="str">
            <v>CP-ETGJ-SDS-0022</v>
          </cell>
          <cell r="E121" t="str">
            <v>参半儿童分龄护齿牙刷(单支装)小黄人联名款粉色刷柄</v>
          </cell>
          <cell r="F121" t="str">
            <v>1支</v>
          </cell>
          <cell r="G121" t="str">
            <v>支</v>
          </cell>
          <cell r="H121" t="str">
            <v>=DISPIMG("ID_591DEF0BAA9348A385D172C4A4D0736E",1)</v>
          </cell>
          <cell r="I121">
            <v>8</v>
          </cell>
          <cell r="J121">
            <v>19.9</v>
          </cell>
        </row>
        <row r="122">
          <cell r="C122">
            <v>6978974201812</v>
          </cell>
          <cell r="D122" t="str">
            <v>CP-ETGJ-SDS-0021</v>
          </cell>
          <cell r="E122" t="str">
            <v>参半儿童分龄护齿牙刷(单支装)小黄人联名款黄色刷柄</v>
          </cell>
          <cell r="F122" t="str">
            <v>1支</v>
          </cell>
          <cell r="G122" t="str">
            <v>支</v>
          </cell>
          <cell r="H122" t="str">
            <v>=DISPIMG("ID_7412EBF1C4664CB28F1766B6F8A7B28F",1)</v>
          </cell>
          <cell r="I122">
            <v>8</v>
          </cell>
          <cell r="J122">
            <v>19.9</v>
          </cell>
        </row>
        <row r="123">
          <cell r="C123">
            <v>6978974200709</v>
          </cell>
          <cell r="D123" t="str">
            <v>CP-KQ-YG-0525</v>
          </cell>
          <cell r="E123" t="str">
            <v>参半oralshark高山茉莉味科研白牙膏100g-线上罗小黑联名</v>
          </cell>
          <cell r="F123" t="str">
            <v>100g</v>
          </cell>
          <cell r="G123" t="str">
            <v>支</v>
          </cell>
          <cell r="H123" t="str">
            <v>=DISPIMG("ID_8B48094FCB7D449B86EF23D8561FA6B1",1)</v>
          </cell>
          <cell r="I123">
            <v>8</v>
          </cell>
          <cell r="J123">
            <v>19.9</v>
          </cell>
        </row>
        <row r="124">
          <cell r="C124">
            <v>6978974200716</v>
          </cell>
          <cell r="D124" t="str">
            <v>CP-KQ-YG-0526</v>
          </cell>
          <cell r="E124" t="str">
            <v>参半oralshark玫瑰清茶味净清新牙膏100g-线上罗小黑联名</v>
          </cell>
          <cell r="F124" t="str">
            <v>100g</v>
          </cell>
          <cell r="G124" t="str">
            <v>支</v>
          </cell>
          <cell r="H124" t="str">
            <v>=DISPIMG("ID_D2B00E85D2804C278D9067013D1DA06A",1)</v>
          </cell>
          <cell r="I124">
            <v>8</v>
          </cell>
          <cell r="J124">
            <v>19.9</v>
          </cell>
        </row>
        <row r="125">
          <cell r="C125">
            <v>6978974200754</v>
          </cell>
          <cell r="D125" t="str">
            <v>CP-KQ-YG-0527</v>
          </cell>
          <cell r="E125" t="str">
            <v>参半oralshark清新洁白冷萃龙井味牙膏100g-线上罗小黑联名</v>
          </cell>
          <cell r="F125" t="str">
            <v>100g</v>
          </cell>
          <cell r="G125" t="str">
            <v>支</v>
          </cell>
          <cell r="H125" t="str">
            <v>=DISPIMG("ID_25AA3AF36AFD4FE7B1C156C892065170",1)</v>
          </cell>
          <cell r="I125">
            <v>8</v>
          </cell>
          <cell r="J125">
            <v>19.9</v>
          </cell>
        </row>
        <row r="126">
          <cell r="C126">
            <v>6978974200747</v>
          </cell>
          <cell r="D126" t="str">
            <v>CP-KQ-YG-0528</v>
          </cell>
          <cell r="E126" t="str">
            <v>参半oralshark清新洁白沁爽西柚味牙膏100g-线上罗小黑联名</v>
          </cell>
          <cell r="F126" t="str">
            <v>100g</v>
          </cell>
          <cell r="G126" t="str">
            <v>支</v>
          </cell>
          <cell r="H126" t="str">
            <v>=DISPIMG("ID_3B7251C73E0E4A0C91360E891214D728",1)</v>
          </cell>
          <cell r="I126">
            <v>8</v>
          </cell>
          <cell r="J126">
            <v>19.9</v>
          </cell>
        </row>
        <row r="127">
          <cell r="C127">
            <v>6978974200808</v>
          </cell>
          <cell r="D127" t="str">
            <v>CP-KQ-YG-0529</v>
          </cell>
          <cell r="E127" t="str">
            <v>参半小样牙膏50g*3套装--线上罗小黑联名</v>
          </cell>
          <cell r="F127" t="str">
            <v>50g*3只</v>
          </cell>
          <cell r="G127" t="str">
            <v>支</v>
          </cell>
          <cell r="H127" t="str">
            <v>=DISPIMG("ID_54D1B1B88E9F427BAEBA7D706BD74BE8",1)</v>
          </cell>
          <cell r="I127">
            <v>13.5</v>
          </cell>
          <cell r="J127">
            <v>29.9</v>
          </cell>
        </row>
        <row r="128">
          <cell r="C128">
            <v>6978974200761</v>
          </cell>
          <cell r="D128" t="str">
            <v>CP-KQ-SKS-0203</v>
          </cell>
          <cell r="E128" t="str">
            <v>参半益生菌清新便携漱口水（12mlx12条）混合果味 罗小黑联名款</v>
          </cell>
          <cell r="F128" t="str">
            <v>12mlx12条</v>
          </cell>
          <cell r="G128" t="str">
            <v>盒</v>
          </cell>
          <cell r="H128" t="str">
            <v>=DISPIMG("ID_E8651871B0A94DAE8B9354BF9EF250E6",1)</v>
          </cell>
          <cell r="I128">
            <v>9</v>
          </cell>
          <cell r="J128">
            <v>19.9</v>
          </cell>
        </row>
        <row r="129">
          <cell r="C129">
            <v>6978974200778</v>
          </cell>
          <cell r="D129" t="str">
            <v>CP-KQ-SKS-0204</v>
          </cell>
          <cell r="E129" t="str">
            <v>参半益生菌清新便携漱口水（12mlx12条）混合花味 罗小黑联名款</v>
          </cell>
          <cell r="F129" t="str">
            <v>12mlx12条</v>
          </cell>
          <cell r="G129" t="str">
            <v>盒</v>
          </cell>
          <cell r="H129" t="str">
            <v>=DISPIMG("ID_F946A53FF7B648038849BAB1D54A96CD",1)</v>
          </cell>
          <cell r="I129">
            <v>9</v>
          </cell>
          <cell r="J129">
            <v>19.9</v>
          </cell>
        </row>
        <row r="130">
          <cell r="C130">
            <v>6970356160991</v>
          </cell>
          <cell r="D130" t="str">
            <v>CP-KQ-YG-0183</v>
          </cell>
          <cell r="E130" t="str">
            <v>参半沁清新牙膏 180g</v>
          </cell>
          <cell r="F130" t="str">
            <v>180g</v>
          </cell>
          <cell r="G130" t="str">
            <v>盒</v>
          </cell>
          <cell r="H130" t="str">
            <v>=DISPIMG("ID_9AB116FA62E54AFCBBD91F07DADA50D3",1)</v>
          </cell>
          <cell r="I130">
            <v>5.57</v>
          </cell>
          <cell r="J130">
            <v>15.9</v>
          </cell>
        </row>
        <row r="131">
          <cell r="C131">
            <v>6970356160793</v>
          </cell>
          <cell r="D131" t="str">
            <v>CP-KQ-YG-0182</v>
          </cell>
          <cell r="E131" t="str">
            <v>参半谷净白牙膏 180g</v>
          </cell>
          <cell r="F131" t="str">
            <v>180g</v>
          </cell>
          <cell r="G131" t="str">
            <v>盒</v>
          </cell>
          <cell r="H131" t="str">
            <v>=DISPIMG("ID_F0A72158FCEA4585911D66CFC66117C7",1)</v>
          </cell>
          <cell r="I131">
            <v>5.57</v>
          </cell>
          <cell r="J131">
            <v>15.9</v>
          </cell>
        </row>
        <row r="132">
          <cell r="C132">
            <v>6970356162766</v>
          </cell>
          <cell r="D132" t="str">
            <v>CP-KQ-YG-0184</v>
          </cell>
          <cell r="E132" t="str">
            <v>参半卓研白牙膏 160g</v>
          </cell>
          <cell r="F132" t="str">
            <v>160g</v>
          </cell>
          <cell r="G132" t="str">
            <v>盒</v>
          </cell>
          <cell r="H132" t="str">
            <v>=DISPIMG("ID_EF13BE13C9D14C439C4D1D8382EAC051",1)</v>
          </cell>
          <cell r="I132">
            <v>6.27</v>
          </cell>
          <cell r="J132">
            <v>17.9</v>
          </cell>
        </row>
        <row r="133">
          <cell r="C133">
            <v>6970356161622</v>
          </cell>
          <cell r="D133" t="str">
            <v>CP-KQ-YG-0207</v>
          </cell>
          <cell r="E133" t="str">
            <v>参半植护龈牙膏 140g</v>
          </cell>
          <cell r="F133" t="str">
            <v>140g</v>
          </cell>
          <cell r="G133" t="str">
            <v>盒</v>
          </cell>
          <cell r="H133" t="str">
            <v>=DISPIMG("ID_E4C5E7ACDDA245B9974C915EEEE2ABE8",1)</v>
          </cell>
          <cell r="I133">
            <v>6.97</v>
          </cell>
          <cell r="J133">
            <v>19.9</v>
          </cell>
        </row>
        <row r="134">
          <cell r="C134">
            <v>6970356161691</v>
          </cell>
          <cell r="D134" t="str">
            <v>CP-KQ-YG-0206</v>
          </cell>
          <cell r="E134" t="str">
            <v>参半专护敏牙膏 140g</v>
          </cell>
          <cell r="F134" t="str">
            <v>140g</v>
          </cell>
          <cell r="G134" t="str">
            <v>盒</v>
          </cell>
          <cell r="H134" t="str">
            <v>=DISPIMG("ID_B5F23A6AC4004F738B6ED7F8E0028203",1)</v>
          </cell>
          <cell r="I134">
            <v>6.97</v>
          </cell>
          <cell r="J134">
            <v>19.9</v>
          </cell>
        </row>
        <row r="135">
          <cell r="C135">
            <v>6970356161042</v>
          </cell>
          <cell r="D135" t="str">
            <v>CP-KQ-YG-0200</v>
          </cell>
          <cell r="E135" t="str">
            <v>参半专效白牙膏 120g</v>
          </cell>
          <cell r="F135" t="str">
            <v>120g</v>
          </cell>
          <cell r="G135" t="str">
            <v>盒</v>
          </cell>
          <cell r="H135" t="str">
            <v>=DISPIMG("ID_8900EFA6296D40B097BE3FD50B869ED2",1)</v>
          </cell>
          <cell r="I135">
            <v>8.68</v>
          </cell>
          <cell r="J135">
            <v>24.8</v>
          </cell>
        </row>
        <row r="136">
          <cell r="C136">
            <v>6970356160304</v>
          </cell>
          <cell r="D136" t="str">
            <v>CP-GJ-SDS-0142</v>
          </cell>
          <cell r="E136" t="str">
            <v>参半光感密柔牙刷 双支装</v>
          </cell>
          <cell r="F136" t="str">
            <v>2支</v>
          </cell>
          <cell r="G136" t="str">
            <v>支</v>
          </cell>
          <cell r="H136" t="str">
            <v>=DISPIMG("ID_B7639659237E446F8B1DF4B15D7F8E6D",1)</v>
          </cell>
          <cell r="I136">
            <v>4.14</v>
          </cell>
          <cell r="J136">
            <v>13.8</v>
          </cell>
        </row>
        <row r="137">
          <cell r="C137">
            <v>6970356160366</v>
          </cell>
          <cell r="D137" t="str">
            <v>CP-GJ-SDS-0143</v>
          </cell>
          <cell r="E137" t="str">
            <v>参半旋风净白牙刷 双支装</v>
          </cell>
          <cell r="F137" t="str">
            <v>2支</v>
          </cell>
          <cell r="G137" t="str">
            <v>支</v>
          </cell>
          <cell r="H137" t="str">
            <v>=DISPIMG("ID_D8F7C8E43000432FA45405A292362531",1)</v>
          </cell>
          <cell r="I137">
            <v>4.14</v>
          </cell>
          <cell r="J137">
            <v>13.8</v>
          </cell>
        </row>
        <row r="138">
          <cell r="C138">
            <v>6970356161721</v>
          </cell>
          <cell r="D138" t="str">
            <v>CP-GJ-SDS-0148</v>
          </cell>
          <cell r="E138" t="str">
            <v>参半羽感宽护牙刷 双支装</v>
          </cell>
          <cell r="F138" t="str">
            <v>2支</v>
          </cell>
          <cell r="G138" t="str">
            <v>支</v>
          </cell>
          <cell r="H138" t="str">
            <v>=DISPIMG("ID_9AB83A46171444C8870E297D7A0937BF",1)</v>
          </cell>
          <cell r="I138">
            <v>4.14</v>
          </cell>
          <cell r="J138">
            <v>13.8</v>
          </cell>
        </row>
        <row r="139">
          <cell r="C139">
            <v>6970356160496</v>
          </cell>
          <cell r="D139" t="str">
            <v>CP-GJ-SDS-0144</v>
          </cell>
          <cell r="E139" t="str">
            <v>参半梦幻绒感牙刷 双支装</v>
          </cell>
          <cell r="F139" t="str">
            <v>2支</v>
          </cell>
          <cell r="G139" t="str">
            <v>支</v>
          </cell>
          <cell r="H139" t="str">
            <v>=DISPIMG("ID_7E755523824143A496283B05FC809AB0",1)</v>
          </cell>
          <cell r="I139">
            <v>4.74</v>
          </cell>
          <cell r="J139">
            <v>15.8</v>
          </cell>
        </row>
        <row r="140">
          <cell r="C140">
            <v>6970356160816</v>
          </cell>
          <cell r="D140" t="str">
            <v>CP-GJ-SDS-0145</v>
          </cell>
          <cell r="E140" t="str">
            <v>参半纤柔净白牙刷 3支装</v>
          </cell>
          <cell r="F140" t="str">
            <v>3支</v>
          </cell>
          <cell r="G140" t="str">
            <v>支</v>
          </cell>
          <cell r="H140" t="str">
            <v>=DISPIMG("ID_008E3E09E47F4299A724145A9C9C9518",1)</v>
          </cell>
          <cell r="I140">
            <v>5.34</v>
          </cell>
          <cell r="J140">
            <v>17.8</v>
          </cell>
        </row>
        <row r="141">
          <cell r="C141">
            <v>6970356160892</v>
          </cell>
          <cell r="D141" t="str">
            <v>CP-GJ-SDS-0146</v>
          </cell>
          <cell r="E141" t="str">
            <v>参半宽柔密护牙刷 5支装</v>
          </cell>
          <cell r="F141" t="str">
            <v>5支</v>
          </cell>
          <cell r="G141" t="str">
            <v>支</v>
          </cell>
          <cell r="H141" t="str">
            <v>=DISPIMG("ID_3E383F6EA8A344658D90E2921962C389",1)</v>
          </cell>
          <cell r="I141">
            <v>7.48</v>
          </cell>
          <cell r="J141">
            <v>29.9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3" sqref="B3"/>
    </sheetView>
  </sheetViews>
  <sheetFormatPr defaultColWidth="9" defaultRowHeight="21" customHeight="1"/>
  <cols>
    <col min="1" max="1" width="21.6666666666667" style="1" customWidth="1"/>
    <col min="2" max="2" width="25.2222222222222" style="2" customWidth="1"/>
    <col min="3" max="3" width="9" hidden="1" customWidth="1"/>
    <col min="4" max="4" width="11.7685185185185" customWidth="1"/>
    <col min="5" max="5" width="38.2222222222222" customWidth="1"/>
    <col min="6" max="6" width="15" style="3" customWidth="1"/>
    <col min="7" max="7" width="10" hidden="1" customWidth="1"/>
    <col min="8" max="8" width="7.33333333333333" customWidth="1"/>
    <col min="9" max="9" width="10" hidden="1" customWidth="1"/>
    <col min="10" max="10" width="7.44444444444444" customWidth="1"/>
    <col min="11" max="11" width="10" hidden="1" customWidth="1"/>
    <col min="12" max="12" width="7.11111111111111" customWidth="1"/>
    <col min="13" max="13" width="10" customWidth="1"/>
    <col min="14" max="15" width="9" style="4"/>
  </cols>
  <sheetData>
    <row r="1" customHeight="1" spans="1:13">
      <c r="A1" s="5" t="s">
        <v>0</v>
      </c>
      <c r="B1" s="6" t="s">
        <v>1</v>
      </c>
      <c r="C1" s="7" t="s">
        <v>2</v>
      </c>
      <c r="D1" s="7" t="s">
        <v>3</v>
      </c>
      <c r="E1" s="5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8</v>
      </c>
      <c r="L1" s="7" t="s">
        <v>10</v>
      </c>
      <c r="M1" s="7" t="s">
        <v>11</v>
      </c>
    </row>
    <row r="2" customHeight="1" spans="1:13">
      <c r="A2" s="5" t="s">
        <v>12</v>
      </c>
      <c r="B2" s="6" t="s">
        <v>13</v>
      </c>
      <c r="C2" s="7" t="s">
        <v>14</v>
      </c>
      <c r="D2" s="7" t="s">
        <v>15</v>
      </c>
      <c r="E2" s="5" t="s">
        <v>16</v>
      </c>
      <c r="F2" s="9">
        <v>6970356167334</v>
      </c>
      <c r="G2" s="7" t="s">
        <v>17</v>
      </c>
      <c r="H2" s="7" t="s">
        <v>18</v>
      </c>
      <c r="I2" s="7">
        <v>5.6</v>
      </c>
      <c r="J2" s="7">
        <v>812</v>
      </c>
      <c r="K2" s="7">
        <v>5.6</v>
      </c>
      <c r="L2" s="7">
        <f>VLOOKUP(F2,[1]Sheet1!$C:$J,8,FALSE)</f>
        <v>16.9</v>
      </c>
      <c r="M2" s="7">
        <f t="shared" ref="M2:M37" si="0">L2*J2</f>
        <v>13722.8</v>
      </c>
    </row>
    <row r="3" customHeight="1" spans="1:13">
      <c r="A3" s="5" t="s">
        <v>12</v>
      </c>
      <c r="B3" s="6" t="s">
        <v>13</v>
      </c>
      <c r="C3" s="7" t="s">
        <v>14</v>
      </c>
      <c r="D3" s="7" t="s">
        <v>19</v>
      </c>
      <c r="E3" s="5" t="s">
        <v>20</v>
      </c>
      <c r="F3" s="9">
        <v>6970356167341</v>
      </c>
      <c r="G3" s="7" t="s">
        <v>17</v>
      </c>
      <c r="H3" s="7" t="s">
        <v>18</v>
      </c>
      <c r="I3" s="7">
        <v>5.6</v>
      </c>
      <c r="J3" s="7">
        <v>1099</v>
      </c>
      <c r="K3" s="7">
        <v>5.6</v>
      </c>
      <c r="L3" s="7">
        <v>13.8</v>
      </c>
      <c r="M3" s="7">
        <f t="shared" si="0"/>
        <v>15166.2</v>
      </c>
    </row>
    <row r="4" customHeight="1" spans="1:13">
      <c r="A4" s="5" t="s">
        <v>12</v>
      </c>
      <c r="B4" s="6" t="s">
        <v>13</v>
      </c>
      <c r="C4" s="7" t="s">
        <v>14</v>
      </c>
      <c r="D4" s="7" t="s">
        <v>21</v>
      </c>
      <c r="E4" s="5" t="s">
        <v>22</v>
      </c>
      <c r="F4" s="9">
        <v>6970356164241</v>
      </c>
      <c r="G4" s="7" t="s">
        <v>17</v>
      </c>
      <c r="H4" s="7" t="s">
        <v>18</v>
      </c>
      <c r="I4" s="7">
        <v>8</v>
      </c>
      <c r="J4" s="7">
        <v>567</v>
      </c>
      <c r="K4" s="7">
        <v>8</v>
      </c>
      <c r="L4" s="7">
        <v>19.9</v>
      </c>
      <c r="M4" s="7">
        <f t="shared" si="0"/>
        <v>11283.3</v>
      </c>
    </row>
    <row r="5" customHeight="1" spans="1:13">
      <c r="A5" s="5" t="s">
        <v>12</v>
      </c>
      <c r="B5" s="6" t="s">
        <v>13</v>
      </c>
      <c r="C5" s="7" t="s">
        <v>14</v>
      </c>
      <c r="D5" s="7" t="s">
        <v>23</v>
      </c>
      <c r="E5" s="5" t="s">
        <v>24</v>
      </c>
      <c r="F5" s="9">
        <v>6970356164203</v>
      </c>
      <c r="G5" s="7" t="s">
        <v>17</v>
      </c>
      <c r="H5" s="7" t="s">
        <v>18</v>
      </c>
      <c r="I5" s="7">
        <v>8</v>
      </c>
      <c r="J5" s="7">
        <v>308</v>
      </c>
      <c r="K5" s="7">
        <v>8</v>
      </c>
      <c r="L5" s="7">
        <f>VLOOKUP(F5,[1]Sheet1!$C:$J,8,FALSE)</f>
        <v>24.9</v>
      </c>
      <c r="M5" s="7">
        <f t="shared" si="0"/>
        <v>7669.2</v>
      </c>
    </row>
    <row r="6" customHeight="1" spans="1:13">
      <c r="A6" s="5" t="s">
        <v>12</v>
      </c>
      <c r="B6" s="6" t="s">
        <v>13</v>
      </c>
      <c r="C6" s="7" t="s">
        <v>14</v>
      </c>
      <c r="D6" s="7" t="s">
        <v>25</v>
      </c>
      <c r="E6" s="5" t="s">
        <v>26</v>
      </c>
      <c r="F6" s="9">
        <v>6970356164258</v>
      </c>
      <c r="G6" s="7" t="s">
        <v>17</v>
      </c>
      <c r="H6" s="7" t="s">
        <v>18</v>
      </c>
      <c r="I6" s="7">
        <v>9.8</v>
      </c>
      <c r="J6" s="7">
        <v>61</v>
      </c>
      <c r="K6" s="7">
        <v>9.8</v>
      </c>
      <c r="L6" s="7">
        <f>VLOOKUP(F6,[1]Sheet1!$C:$J,8,FALSE)</f>
        <v>29.9</v>
      </c>
      <c r="M6" s="7">
        <f t="shared" si="0"/>
        <v>1823.9</v>
      </c>
    </row>
    <row r="7" customHeight="1" spans="1:13">
      <c r="A7" s="5" t="s">
        <v>12</v>
      </c>
      <c r="B7" s="6" t="s">
        <v>13</v>
      </c>
      <c r="C7" s="7" t="s">
        <v>14</v>
      </c>
      <c r="D7" s="7" t="s">
        <v>27</v>
      </c>
      <c r="E7" s="5" t="s">
        <v>28</v>
      </c>
      <c r="F7" s="9">
        <v>6970356164296</v>
      </c>
      <c r="G7" s="7" t="s">
        <v>17</v>
      </c>
      <c r="H7" s="7" t="s">
        <v>18</v>
      </c>
      <c r="I7" s="7">
        <v>13</v>
      </c>
      <c r="J7" s="7">
        <v>129</v>
      </c>
      <c r="K7" s="7">
        <v>13</v>
      </c>
      <c r="L7" s="7">
        <f>VLOOKUP(F7,[1]Sheet1!$C:$J,8,FALSE)</f>
        <v>39.9</v>
      </c>
      <c r="M7" s="7">
        <f t="shared" si="0"/>
        <v>5147.1</v>
      </c>
    </row>
    <row r="8" customHeight="1" spans="1:13">
      <c r="A8" s="5" t="s">
        <v>12</v>
      </c>
      <c r="B8" s="6" t="s">
        <v>13</v>
      </c>
      <c r="C8" s="7" t="s">
        <v>14</v>
      </c>
      <c r="D8" s="7" t="s">
        <v>29</v>
      </c>
      <c r="E8" s="5" t="s">
        <v>30</v>
      </c>
      <c r="F8" s="9">
        <v>6970356164289</v>
      </c>
      <c r="G8" s="7" t="s">
        <v>17</v>
      </c>
      <c r="H8" s="7" t="s">
        <v>18</v>
      </c>
      <c r="I8" s="7">
        <v>13</v>
      </c>
      <c r="J8" s="7">
        <v>325</v>
      </c>
      <c r="K8" s="7">
        <v>13</v>
      </c>
      <c r="L8" s="7">
        <v>29.9</v>
      </c>
      <c r="M8" s="7">
        <f t="shared" si="0"/>
        <v>9717.5</v>
      </c>
    </row>
    <row r="9" customHeight="1" spans="1:13">
      <c r="A9" s="5" t="s">
        <v>12</v>
      </c>
      <c r="B9" s="6" t="s">
        <v>13</v>
      </c>
      <c r="C9" s="7" t="s">
        <v>14</v>
      </c>
      <c r="D9" s="7" t="s">
        <v>31</v>
      </c>
      <c r="E9" s="5" t="s">
        <v>32</v>
      </c>
      <c r="F9" s="9">
        <v>6970356166979</v>
      </c>
      <c r="G9" s="7" t="s">
        <v>17</v>
      </c>
      <c r="H9" s="7" t="str">
        <f>VLOOKUP(F9,[1]Sheet1!$C:$G,5,FALSE)</f>
        <v>盒</v>
      </c>
      <c r="I9" s="7">
        <v>20</v>
      </c>
      <c r="J9" s="7">
        <v>3517</v>
      </c>
      <c r="K9" s="7">
        <v>20</v>
      </c>
      <c r="L9" s="7">
        <v>29.9</v>
      </c>
      <c r="M9" s="7">
        <f t="shared" si="0"/>
        <v>105158.3</v>
      </c>
    </row>
    <row r="10" customHeight="1" spans="1:13">
      <c r="A10" s="5" t="s">
        <v>12</v>
      </c>
      <c r="B10" s="6" t="s">
        <v>13</v>
      </c>
      <c r="C10" s="7"/>
      <c r="D10" s="13" t="s">
        <v>33</v>
      </c>
      <c r="E10" s="5" t="s">
        <v>34</v>
      </c>
      <c r="F10" s="9">
        <v>6970356164388</v>
      </c>
      <c r="G10" s="7"/>
      <c r="H10" s="7" t="str">
        <f>VLOOKUP(F10,[1]Sheet1!$C:$G,5,FALSE)</f>
        <v>盒</v>
      </c>
      <c r="I10" s="7"/>
      <c r="J10" s="7">
        <v>406</v>
      </c>
      <c r="K10" s="7">
        <v>10.6</v>
      </c>
      <c r="L10" s="7">
        <v>29.9</v>
      </c>
      <c r="M10" s="7">
        <f t="shared" si="0"/>
        <v>12139.4</v>
      </c>
    </row>
    <row r="11" customHeight="1" spans="1:13">
      <c r="A11" s="5" t="s">
        <v>12</v>
      </c>
      <c r="B11" s="6" t="s">
        <v>13</v>
      </c>
      <c r="C11" s="7" t="s">
        <v>14</v>
      </c>
      <c r="D11" s="7" t="s">
        <v>35</v>
      </c>
      <c r="E11" s="5" t="s">
        <v>36</v>
      </c>
      <c r="F11" s="9">
        <v>6970356164159</v>
      </c>
      <c r="G11" s="7" t="s">
        <v>37</v>
      </c>
      <c r="H11" s="7" t="str">
        <f>VLOOKUP(F11,[1]Sheet1!$C:$G,5,FALSE)</f>
        <v>支</v>
      </c>
      <c r="I11" s="7">
        <v>5</v>
      </c>
      <c r="J11" s="7">
        <v>128</v>
      </c>
      <c r="K11" s="7">
        <v>5</v>
      </c>
      <c r="L11" s="7">
        <f>VLOOKUP(F11,[1]Sheet1!$C:$J,8,FALSE)</f>
        <v>16.8</v>
      </c>
      <c r="M11" s="7">
        <f t="shared" si="0"/>
        <v>2150.4</v>
      </c>
    </row>
    <row r="12" customHeight="1" spans="1:13">
      <c r="A12" s="5" t="s">
        <v>12</v>
      </c>
      <c r="B12" s="6" t="s">
        <v>13</v>
      </c>
      <c r="C12" s="7" t="s">
        <v>14</v>
      </c>
      <c r="D12" s="7" t="s">
        <v>38</v>
      </c>
      <c r="E12" s="5" t="s">
        <v>39</v>
      </c>
      <c r="F12" s="9">
        <v>6970356168454</v>
      </c>
      <c r="G12" s="7" t="s">
        <v>17</v>
      </c>
      <c r="H12" s="7" t="s">
        <v>18</v>
      </c>
      <c r="I12" s="7">
        <v>10.8</v>
      </c>
      <c r="J12" s="7">
        <v>813</v>
      </c>
      <c r="K12" s="7">
        <v>10.8</v>
      </c>
      <c r="L12" s="7">
        <v>19.9</v>
      </c>
      <c r="M12" s="7">
        <f t="shared" si="0"/>
        <v>16178.7</v>
      </c>
    </row>
    <row r="13" customHeight="1" spans="1:13">
      <c r="A13" s="5" t="s">
        <v>12</v>
      </c>
      <c r="B13" s="6" t="s">
        <v>13</v>
      </c>
      <c r="C13" s="7" t="s">
        <v>14</v>
      </c>
      <c r="D13" s="7" t="s">
        <v>40</v>
      </c>
      <c r="E13" s="5" t="s">
        <v>41</v>
      </c>
      <c r="F13" s="9">
        <v>6970356165774</v>
      </c>
      <c r="G13" s="7" t="s">
        <v>17</v>
      </c>
      <c r="H13" s="7" t="s">
        <v>18</v>
      </c>
      <c r="I13" s="7">
        <v>7.2</v>
      </c>
      <c r="J13" s="7">
        <v>114</v>
      </c>
      <c r="K13" s="7">
        <v>7.2</v>
      </c>
      <c r="L13" s="7">
        <f>VLOOKUP(F13,[1]Sheet1!$C:$J,8,FALSE)</f>
        <v>21.9</v>
      </c>
      <c r="M13" s="7">
        <f t="shared" si="0"/>
        <v>2496.6</v>
      </c>
    </row>
    <row r="14" customHeight="1" spans="1:13">
      <c r="A14" s="5" t="s">
        <v>12</v>
      </c>
      <c r="B14" s="6" t="s">
        <v>13</v>
      </c>
      <c r="C14" s="7" t="s">
        <v>14</v>
      </c>
      <c r="D14" s="7" t="s">
        <v>42</v>
      </c>
      <c r="E14" s="5" t="s">
        <v>43</v>
      </c>
      <c r="F14" s="9">
        <v>6970356168904</v>
      </c>
      <c r="G14" s="7" t="s">
        <v>17</v>
      </c>
      <c r="H14" s="7" t="s">
        <v>18</v>
      </c>
      <c r="I14" s="7">
        <v>0</v>
      </c>
      <c r="J14" s="7">
        <v>28</v>
      </c>
      <c r="K14" s="7">
        <v>0</v>
      </c>
      <c r="L14" s="7">
        <f>VLOOKUP(F14,[1]Sheet1!$C:$J,8,FALSE)</f>
        <v>26</v>
      </c>
      <c r="M14" s="7">
        <f t="shared" si="0"/>
        <v>728</v>
      </c>
    </row>
    <row r="15" customHeight="1" spans="1:13">
      <c r="A15" s="5" t="s">
        <v>12</v>
      </c>
      <c r="B15" s="6" t="s">
        <v>13</v>
      </c>
      <c r="C15" s="7" t="s">
        <v>14</v>
      </c>
      <c r="D15" s="7" t="s">
        <v>44</v>
      </c>
      <c r="E15" s="5" t="s">
        <v>45</v>
      </c>
      <c r="F15" s="9">
        <v>6970356165910</v>
      </c>
      <c r="G15" s="7" t="s">
        <v>17</v>
      </c>
      <c r="H15" s="7" t="s">
        <v>18</v>
      </c>
      <c r="I15" s="7">
        <v>10.5</v>
      </c>
      <c r="J15" s="7">
        <v>98</v>
      </c>
      <c r="K15" s="7">
        <v>10.5</v>
      </c>
      <c r="L15" s="7">
        <f>VLOOKUP(F15,[1]Sheet1!$C:$J,8,FALSE)</f>
        <v>29.9</v>
      </c>
      <c r="M15" s="7">
        <f t="shared" si="0"/>
        <v>2930.2</v>
      </c>
    </row>
    <row r="16" customHeight="1" spans="1:13">
      <c r="A16" s="5" t="s">
        <v>12</v>
      </c>
      <c r="B16" s="6" t="s">
        <v>13</v>
      </c>
      <c r="C16" s="7" t="s">
        <v>14</v>
      </c>
      <c r="D16" s="7" t="s">
        <v>46</v>
      </c>
      <c r="E16" s="5" t="s">
        <v>47</v>
      </c>
      <c r="F16" s="9">
        <v>6970356166450</v>
      </c>
      <c r="G16" s="7" t="s">
        <v>37</v>
      </c>
      <c r="H16" s="7" t="str">
        <f>VLOOKUP(F16,[1]Sheet1!$C:$G,5,FALSE)</f>
        <v>支</v>
      </c>
      <c r="I16" s="7">
        <v>7.8</v>
      </c>
      <c r="J16" s="7">
        <v>170</v>
      </c>
      <c r="K16" s="7">
        <v>7.8</v>
      </c>
      <c r="L16" s="7">
        <f>VLOOKUP(F16,[1]Sheet1!$C:$J,8,FALSE)</f>
        <v>25.9</v>
      </c>
      <c r="M16" s="7">
        <f t="shared" si="0"/>
        <v>4403</v>
      </c>
    </row>
    <row r="17" customHeight="1" spans="1:13">
      <c r="A17" s="5" t="s">
        <v>12</v>
      </c>
      <c r="B17" s="6" t="s">
        <v>13</v>
      </c>
      <c r="C17" s="7" t="s">
        <v>14</v>
      </c>
      <c r="D17" s="7" t="s">
        <v>48</v>
      </c>
      <c r="E17" s="5" t="s">
        <v>49</v>
      </c>
      <c r="F17" s="9">
        <v>6970356166931</v>
      </c>
      <c r="G17" s="7" t="s">
        <v>37</v>
      </c>
      <c r="H17" s="7" t="str">
        <f>VLOOKUP(F17,[1]Sheet1!$C:$G,5,FALSE)</f>
        <v>支</v>
      </c>
      <c r="I17" s="7">
        <v>6</v>
      </c>
      <c r="J17" s="7">
        <v>145</v>
      </c>
      <c r="K17" s="7">
        <v>6</v>
      </c>
      <c r="L17" s="7">
        <f>VLOOKUP(F17,[1]Sheet1!$C:$J,8,FALSE)</f>
        <v>19.9</v>
      </c>
      <c r="M17" s="7">
        <f t="shared" si="0"/>
        <v>2885.5</v>
      </c>
    </row>
    <row r="18" customHeight="1" spans="1:13">
      <c r="A18" s="5" t="s">
        <v>12</v>
      </c>
      <c r="B18" s="6" t="s">
        <v>13</v>
      </c>
      <c r="C18" s="7" t="s">
        <v>14</v>
      </c>
      <c r="D18" s="7" t="s">
        <v>50</v>
      </c>
      <c r="E18" s="5" t="s">
        <v>51</v>
      </c>
      <c r="F18" s="9">
        <v>6970356162391</v>
      </c>
      <c r="G18" s="7" t="s">
        <v>17</v>
      </c>
      <c r="H18" s="7" t="s">
        <v>18</v>
      </c>
      <c r="I18" s="7">
        <v>16</v>
      </c>
      <c r="J18" s="7">
        <v>1082</v>
      </c>
      <c r="K18" s="7">
        <v>16</v>
      </c>
      <c r="L18" s="7">
        <v>29.9</v>
      </c>
      <c r="M18" s="7">
        <f t="shared" si="0"/>
        <v>32351.8</v>
      </c>
    </row>
    <row r="19" customHeight="1" spans="1:13">
      <c r="A19" s="5" t="s">
        <v>12</v>
      </c>
      <c r="B19" s="6" t="s">
        <v>13</v>
      </c>
      <c r="C19" s="7" t="s">
        <v>14</v>
      </c>
      <c r="D19" s="7" t="s">
        <v>52</v>
      </c>
      <c r="E19" s="5" t="s">
        <v>53</v>
      </c>
      <c r="F19" s="9">
        <v>6970356162810</v>
      </c>
      <c r="G19" s="7" t="s">
        <v>17</v>
      </c>
      <c r="H19" s="7" t="s">
        <v>18</v>
      </c>
      <c r="I19" s="7">
        <v>16</v>
      </c>
      <c r="J19" s="7">
        <v>1139</v>
      </c>
      <c r="K19" s="7">
        <v>16</v>
      </c>
      <c r="L19" s="7">
        <v>29.9</v>
      </c>
      <c r="M19" s="7">
        <f t="shared" si="0"/>
        <v>34056.1</v>
      </c>
    </row>
    <row r="20" customHeight="1" spans="1:13">
      <c r="A20" s="5" t="s">
        <v>12</v>
      </c>
      <c r="B20" s="6" t="s">
        <v>13</v>
      </c>
      <c r="C20" s="7" t="s">
        <v>14</v>
      </c>
      <c r="D20" s="7" t="s">
        <v>54</v>
      </c>
      <c r="E20" s="5" t="s">
        <v>55</v>
      </c>
      <c r="F20" s="9">
        <v>6970356160304</v>
      </c>
      <c r="G20" s="7" t="s">
        <v>37</v>
      </c>
      <c r="H20" s="7" t="s">
        <v>18</v>
      </c>
      <c r="I20" s="7">
        <v>4.14</v>
      </c>
      <c r="J20" s="7">
        <v>104</v>
      </c>
      <c r="K20" s="7">
        <v>4.14</v>
      </c>
      <c r="L20" s="7">
        <f>VLOOKUP(F20,[1]Sheet1!$C:$J,8,FALSE)</f>
        <v>13.8</v>
      </c>
      <c r="M20" s="7">
        <f t="shared" si="0"/>
        <v>1435.2</v>
      </c>
    </row>
    <row r="21" customHeight="1" spans="1:13">
      <c r="A21" s="5" t="s">
        <v>12</v>
      </c>
      <c r="B21" s="6" t="s">
        <v>13</v>
      </c>
      <c r="C21" s="7" t="s">
        <v>14</v>
      </c>
      <c r="D21" s="7" t="s">
        <v>56</v>
      </c>
      <c r="E21" s="5" t="s">
        <v>57</v>
      </c>
      <c r="F21" s="9">
        <v>6970356164500</v>
      </c>
      <c r="G21" s="7" t="s">
        <v>37</v>
      </c>
      <c r="H21" s="7" t="str">
        <f>VLOOKUP(F21,[1]Sheet1!$C:$G,5,FALSE)</f>
        <v>支</v>
      </c>
      <c r="I21" s="7">
        <v>5</v>
      </c>
      <c r="J21" s="7">
        <v>96</v>
      </c>
      <c r="K21" s="7">
        <v>5</v>
      </c>
      <c r="L21" s="7">
        <f>VLOOKUP(F21,[1]Sheet1!$C:$J,8,FALSE)</f>
        <v>16.8</v>
      </c>
      <c r="M21" s="7">
        <f t="shared" si="0"/>
        <v>1612.8</v>
      </c>
    </row>
    <row r="22" customHeight="1" spans="1:13">
      <c r="A22" s="5" t="s">
        <v>12</v>
      </c>
      <c r="B22" s="6" t="s">
        <v>13</v>
      </c>
      <c r="C22" s="7" t="s">
        <v>14</v>
      </c>
      <c r="D22" s="7" t="s">
        <v>58</v>
      </c>
      <c r="E22" s="5" t="s">
        <v>59</v>
      </c>
      <c r="F22" s="9">
        <v>6970356164395</v>
      </c>
      <c r="G22" s="7" t="s">
        <v>17</v>
      </c>
      <c r="H22" s="7" t="str">
        <f>VLOOKUP(F22,[1]Sheet1!$C:$G,5,FALSE)</f>
        <v>盒</v>
      </c>
      <c r="I22" s="7">
        <v>12</v>
      </c>
      <c r="J22" s="7">
        <v>182</v>
      </c>
      <c r="K22" s="7">
        <v>12</v>
      </c>
      <c r="L22" s="7">
        <v>25.8</v>
      </c>
      <c r="M22" s="7">
        <f t="shared" si="0"/>
        <v>4695.6</v>
      </c>
    </row>
    <row r="23" customHeight="1" spans="1:13">
      <c r="A23" s="5" t="s">
        <v>12</v>
      </c>
      <c r="B23" s="6" t="s">
        <v>13</v>
      </c>
      <c r="C23" s="7" t="s">
        <v>14</v>
      </c>
      <c r="D23" s="7" t="s">
        <v>60</v>
      </c>
      <c r="E23" s="5" t="s">
        <v>61</v>
      </c>
      <c r="F23" s="9">
        <v>6970356167853</v>
      </c>
      <c r="G23" s="7" t="s">
        <v>17</v>
      </c>
      <c r="H23" s="7" t="s">
        <v>18</v>
      </c>
      <c r="I23" s="7">
        <v>10</v>
      </c>
      <c r="J23" s="7">
        <v>169</v>
      </c>
      <c r="K23" s="7">
        <v>10</v>
      </c>
      <c r="L23" s="7">
        <f>VLOOKUP(F23,[1]Sheet1!$C:$J,8,FALSE)</f>
        <v>29.9</v>
      </c>
      <c r="M23" s="7">
        <f t="shared" si="0"/>
        <v>5053.1</v>
      </c>
    </row>
    <row r="24" customHeight="1" spans="1:13">
      <c r="A24" s="5" t="s">
        <v>12</v>
      </c>
      <c r="B24" s="6" t="s">
        <v>13</v>
      </c>
      <c r="C24" s="7" t="s">
        <v>14</v>
      </c>
      <c r="D24" s="7" t="s">
        <v>62</v>
      </c>
      <c r="E24" s="5" t="s">
        <v>63</v>
      </c>
      <c r="F24" s="9">
        <v>6970356167839</v>
      </c>
      <c r="G24" s="7" t="s">
        <v>17</v>
      </c>
      <c r="H24" s="7" t="s">
        <v>18</v>
      </c>
      <c r="I24" s="7">
        <v>18</v>
      </c>
      <c r="J24" s="7">
        <v>53</v>
      </c>
      <c r="K24" s="7">
        <v>18</v>
      </c>
      <c r="L24" s="7">
        <f>VLOOKUP(F24,[1]Sheet1!$C:$J,8,FALSE)</f>
        <v>39.9</v>
      </c>
      <c r="M24" s="7">
        <f t="shared" si="0"/>
        <v>2114.7</v>
      </c>
    </row>
    <row r="25" customHeight="1" spans="1:13">
      <c r="A25" s="5" t="s">
        <v>12</v>
      </c>
      <c r="B25" s="6" t="s">
        <v>13</v>
      </c>
      <c r="C25" s="7" t="s">
        <v>14</v>
      </c>
      <c r="D25" s="7" t="s">
        <v>64</v>
      </c>
      <c r="E25" s="5" t="s">
        <v>65</v>
      </c>
      <c r="F25" s="9">
        <v>6970356169338</v>
      </c>
      <c r="G25" s="7" t="s">
        <v>17</v>
      </c>
      <c r="H25" s="7" t="s">
        <v>18</v>
      </c>
      <c r="I25" s="7">
        <v>11.9</v>
      </c>
      <c r="J25" s="7">
        <v>75</v>
      </c>
      <c r="K25" s="7">
        <v>11.9</v>
      </c>
      <c r="L25" s="7">
        <f>VLOOKUP(F25,[1]Sheet1!$C:$J,8,FALSE)</f>
        <v>29.9</v>
      </c>
      <c r="M25" s="7">
        <f t="shared" si="0"/>
        <v>2242.5</v>
      </c>
    </row>
    <row r="26" customHeight="1" spans="1:13">
      <c r="A26" s="5" t="s">
        <v>12</v>
      </c>
      <c r="B26" s="6" t="s">
        <v>13</v>
      </c>
      <c r="C26" s="7" t="s">
        <v>14</v>
      </c>
      <c r="D26" s="7" t="s">
        <v>66</v>
      </c>
      <c r="E26" s="5" t="s">
        <v>67</v>
      </c>
      <c r="F26" s="9">
        <v>6970356169321</v>
      </c>
      <c r="G26" s="7" t="s">
        <v>17</v>
      </c>
      <c r="H26" s="7" t="s">
        <v>18</v>
      </c>
      <c r="I26" s="7">
        <v>11.9</v>
      </c>
      <c r="J26" s="7">
        <v>950</v>
      </c>
      <c r="K26" s="7">
        <v>11.9</v>
      </c>
      <c r="L26" s="7">
        <v>24.9</v>
      </c>
      <c r="M26" s="7">
        <f t="shared" si="0"/>
        <v>23655</v>
      </c>
    </row>
    <row r="27" customHeight="1" spans="1:13">
      <c r="A27" s="5" t="s">
        <v>12</v>
      </c>
      <c r="B27" s="6" t="s">
        <v>13</v>
      </c>
      <c r="C27" s="7" t="s">
        <v>14</v>
      </c>
      <c r="D27" s="7" t="s">
        <v>68</v>
      </c>
      <c r="E27" s="5" t="s">
        <v>69</v>
      </c>
      <c r="F27" s="9">
        <v>6970356165095</v>
      </c>
      <c r="G27" s="7" t="s">
        <v>37</v>
      </c>
      <c r="H27" s="7" t="str">
        <f>VLOOKUP(F27,[1]Sheet1!$C:$G,5,FALSE)</f>
        <v>支</v>
      </c>
      <c r="I27" s="7">
        <v>6</v>
      </c>
      <c r="J27" s="7">
        <v>262</v>
      </c>
      <c r="K27" s="7">
        <v>6</v>
      </c>
      <c r="L27" s="7">
        <f>VLOOKUP(F27,[1]Sheet1!$C:$J,8,FALSE)</f>
        <v>19.9</v>
      </c>
      <c r="M27" s="7">
        <f t="shared" si="0"/>
        <v>5213.8</v>
      </c>
    </row>
    <row r="28" customHeight="1" spans="1:13">
      <c r="A28" s="5" t="s">
        <v>12</v>
      </c>
      <c r="B28" s="6" t="s">
        <v>13</v>
      </c>
      <c r="C28" s="7" t="s">
        <v>14</v>
      </c>
      <c r="D28" s="7" t="s">
        <v>70</v>
      </c>
      <c r="E28" s="5" t="s">
        <v>71</v>
      </c>
      <c r="F28" s="9">
        <v>6970356162919</v>
      </c>
      <c r="G28" s="7" t="s">
        <v>17</v>
      </c>
      <c r="H28" s="7" t="s">
        <v>18</v>
      </c>
      <c r="I28" s="7">
        <v>18</v>
      </c>
      <c r="J28" s="7">
        <v>86</v>
      </c>
      <c r="K28" s="7">
        <v>18</v>
      </c>
      <c r="L28" s="7">
        <v>33.9</v>
      </c>
      <c r="M28" s="7">
        <f t="shared" si="0"/>
        <v>2915.4</v>
      </c>
    </row>
    <row r="29" customHeight="1" spans="1:13">
      <c r="A29" s="5" t="s">
        <v>12</v>
      </c>
      <c r="B29" s="6" t="s">
        <v>13</v>
      </c>
      <c r="C29" s="7" t="s">
        <v>14</v>
      </c>
      <c r="D29" s="7" t="s">
        <v>72</v>
      </c>
      <c r="E29" s="5" t="s">
        <v>73</v>
      </c>
      <c r="F29" s="9">
        <v>6970356160496</v>
      </c>
      <c r="G29" s="7" t="s">
        <v>37</v>
      </c>
      <c r="H29" s="7" t="s">
        <v>18</v>
      </c>
      <c r="I29" s="7">
        <v>4.74</v>
      </c>
      <c r="J29" s="7">
        <v>77</v>
      </c>
      <c r="K29" s="7">
        <v>4.74</v>
      </c>
      <c r="L29" s="7">
        <f>VLOOKUP(F29,[1]Sheet1!$C:$J,8,FALSE)</f>
        <v>15.8</v>
      </c>
      <c r="M29" s="7">
        <f t="shared" si="0"/>
        <v>1216.6</v>
      </c>
    </row>
    <row r="30" customHeight="1" spans="1:13">
      <c r="A30" s="5" t="s">
        <v>12</v>
      </c>
      <c r="B30" s="6" t="s">
        <v>13</v>
      </c>
      <c r="C30" s="7" t="s">
        <v>14</v>
      </c>
      <c r="D30" s="7" t="s">
        <v>74</v>
      </c>
      <c r="E30" s="5" t="s">
        <v>75</v>
      </c>
      <c r="F30" s="9">
        <v>6970356165156</v>
      </c>
      <c r="G30" s="7" t="s">
        <v>37</v>
      </c>
      <c r="H30" s="7" t="str">
        <f>VLOOKUP(F30,[1]Sheet1!$C:$G,5,FALSE)</f>
        <v>支</v>
      </c>
      <c r="I30" s="7">
        <v>6</v>
      </c>
      <c r="J30" s="7">
        <v>50</v>
      </c>
      <c r="K30" s="7">
        <v>6</v>
      </c>
      <c r="L30" s="7">
        <f>VLOOKUP(F30,[1]Sheet1!$C:$J,8,FALSE)</f>
        <v>19.9</v>
      </c>
      <c r="M30" s="7">
        <f t="shared" si="0"/>
        <v>995</v>
      </c>
    </row>
    <row r="31" customHeight="1" spans="1:13">
      <c r="A31" s="5" t="s">
        <v>12</v>
      </c>
      <c r="B31" s="6" t="s">
        <v>13</v>
      </c>
      <c r="C31" s="7" t="s">
        <v>14</v>
      </c>
      <c r="D31" s="7" t="s">
        <v>76</v>
      </c>
      <c r="E31" s="5" t="s">
        <v>77</v>
      </c>
      <c r="F31" s="9">
        <v>6970356166429</v>
      </c>
      <c r="G31" s="7" t="s">
        <v>37</v>
      </c>
      <c r="H31" s="7" t="str">
        <f>VLOOKUP(F31,[1]Sheet1!$C:$G,5,FALSE)</f>
        <v>支</v>
      </c>
      <c r="I31" s="7">
        <v>7</v>
      </c>
      <c r="J31" s="7">
        <v>43</v>
      </c>
      <c r="K31" s="7">
        <v>7</v>
      </c>
      <c r="L31" s="7">
        <f>VLOOKUP(F31,[1]Sheet1!$C:$J,8,FALSE)</f>
        <v>19.9</v>
      </c>
      <c r="M31" s="7">
        <f t="shared" si="0"/>
        <v>855.7</v>
      </c>
    </row>
    <row r="32" customHeight="1" spans="1:13">
      <c r="A32" s="5" t="s">
        <v>12</v>
      </c>
      <c r="B32" s="6" t="s">
        <v>13</v>
      </c>
      <c r="C32" s="7" t="s">
        <v>14</v>
      </c>
      <c r="D32" s="7" t="s">
        <v>78</v>
      </c>
      <c r="E32" s="5" t="s">
        <v>79</v>
      </c>
      <c r="F32" s="9">
        <v>6970356160366</v>
      </c>
      <c r="G32" s="7" t="s">
        <v>37</v>
      </c>
      <c r="H32" s="7" t="s">
        <v>18</v>
      </c>
      <c r="I32" s="7">
        <v>4.14</v>
      </c>
      <c r="J32" s="7">
        <v>89</v>
      </c>
      <c r="K32" s="7">
        <v>4.14</v>
      </c>
      <c r="L32" s="7">
        <f>VLOOKUP(F32,[1]Sheet1!$C:$J,8,FALSE)</f>
        <v>13.8</v>
      </c>
      <c r="M32" s="7">
        <f t="shared" si="0"/>
        <v>1228.2</v>
      </c>
    </row>
    <row r="33" customHeight="1" spans="1:13">
      <c r="A33" s="5" t="s">
        <v>12</v>
      </c>
      <c r="B33" s="6" t="s">
        <v>13</v>
      </c>
      <c r="C33" s="7" t="s">
        <v>14</v>
      </c>
      <c r="D33" s="7" t="s">
        <v>80</v>
      </c>
      <c r="E33" s="5" t="s">
        <v>81</v>
      </c>
      <c r="F33" s="9">
        <v>6970356165453</v>
      </c>
      <c r="G33" s="7" t="s">
        <v>17</v>
      </c>
      <c r="H33" s="7" t="str">
        <f>VLOOKUP(F33,[1]Sheet1!$C:$G,5,FALSE)</f>
        <v>瓶</v>
      </c>
      <c r="I33" s="7">
        <v>7</v>
      </c>
      <c r="J33" s="7">
        <v>23</v>
      </c>
      <c r="K33" s="7">
        <v>7</v>
      </c>
      <c r="L33" s="7">
        <f>VLOOKUP(F33,[1]Sheet1!$C:$J,8,FALSE)</f>
        <v>19.9</v>
      </c>
      <c r="M33" s="7">
        <f t="shared" si="0"/>
        <v>457.7</v>
      </c>
    </row>
    <row r="34" customHeight="1" spans="1:13">
      <c r="A34" s="5" t="s">
        <v>12</v>
      </c>
      <c r="B34" s="6" t="s">
        <v>13</v>
      </c>
      <c r="C34" s="7" t="s">
        <v>14</v>
      </c>
      <c r="D34" s="7" t="s">
        <v>82</v>
      </c>
      <c r="E34" s="5" t="s">
        <v>83</v>
      </c>
      <c r="F34" s="9">
        <v>6970356164548</v>
      </c>
      <c r="G34" s="7" t="s">
        <v>17</v>
      </c>
      <c r="H34" s="7" t="str">
        <f>VLOOKUP(F34,[1]Sheet1!$C:$G,5,FALSE)</f>
        <v>瓶</v>
      </c>
      <c r="I34" s="7">
        <v>7</v>
      </c>
      <c r="J34" s="7">
        <v>41</v>
      </c>
      <c r="K34" s="7">
        <v>7</v>
      </c>
      <c r="L34" s="7">
        <v>11.9</v>
      </c>
      <c r="M34" s="7">
        <f t="shared" si="0"/>
        <v>487.9</v>
      </c>
    </row>
    <row r="35" customHeight="1" spans="1:13">
      <c r="A35" s="5" t="s">
        <v>12</v>
      </c>
      <c r="B35" s="6" t="s">
        <v>13</v>
      </c>
      <c r="C35" s="7" t="s">
        <v>14</v>
      </c>
      <c r="D35" s="7" t="s">
        <v>84</v>
      </c>
      <c r="E35" s="5" t="s">
        <v>85</v>
      </c>
      <c r="F35" s="9">
        <v>6970356161721</v>
      </c>
      <c r="G35" s="7" t="s">
        <v>37</v>
      </c>
      <c r="H35" s="7" t="s">
        <v>18</v>
      </c>
      <c r="I35" s="7">
        <v>4.14</v>
      </c>
      <c r="J35" s="7">
        <v>43</v>
      </c>
      <c r="K35" s="7">
        <v>4.14</v>
      </c>
      <c r="L35" s="7">
        <f>VLOOKUP(F35,[1]Sheet1!$C:$J,8,FALSE)</f>
        <v>13.8</v>
      </c>
      <c r="M35" s="7">
        <f t="shared" si="0"/>
        <v>593.4</v>
      </c>
    </row>
    <row r="36" customHeight="1" spans="1:13">
      <c r="A36" s="5" t="s">
        <v>12</v>
      </c>
      <c r="B36" s="6" t="s">
        <v>13</v>
      </c>
      <c r="C36" s="7" t="s">
        <v>14</v>
      </c>
      <c r="D36" s="7" t="s">
        <v>86</v>
      </c>
      <c r="E36" s="5" t="s">
        <v>87</v>
      </c>
      <c r="F36" s="9">
        <v>6970356167846</v>
      </c>
      <c r="G36" s="7" t="s">
        <v>17</v>
      </c>
      <c r="H36" s="7" t="s">
        <v>18</v>
      </c>
      <c r="I36" s="7">
        <v>10.6</v>
      </c>
      <c r="J36" s="7">
        <v>149</v>
      </c>
      <c r="K36" s="7">
        <v>10.6</v>
      </c>
      <c r="L36" s="7">
        <f>VLOOKUP(F36,[1]Sheet1!$C:$J,8,FALSE)</f>
        <v>32.5</v>
      </c>
      <c r="M36" s="7">
        <f t="shared" si="0"/>
        <v>4842.5</v>
      </c>
    </row>
    <row r="37" customHeight="1" spans="1:13">
      <c r="A37" s="5" t="s">
        <v>12</v>
      </c>
      <c r="B37" s="6" t="s">
        <v>13</v>
      </c>
      <c r="C37" s="7" t="s">
        <v>14</v>
      </c>
      <c r="D37" s="7" t="s">
        <v>88</v>
      </c>
      <c r="E37" s="5" t="s">
        <v>89</v>
      </c>
      <c r="F37" s="9">
        <v>6970356162636</v>
      </c>
      <c r="G37" s="7" t="s">
        <v>17</v>
      </c>
      <c r="H37" s="7" t="s">
        <v>18</v>
      </c>
      <c r="I37" s="7">
        <v>16</v>
      </c>
      <c r="J37" s="7">
        <v>311</v>
      </c>
      <c r="K37" s="7">
        <v>16</v>
      </c>
      <c r="L37" s="7">
        <f>VLOOKUP(F37,[1]Sheet1!$C:$J,8,FALSE)</f>
        <v>39.9</v>
      </c>
      <c r="M37" s="7">
        <f t="shared" si="0"/>
        <v>12408.9</v>
      </c>
    </row>
    <row r="38" customHeight="1" spans="1:13">
      <c r="A38" s="10" t="s">
        <v>90</v>
      </c>
      <c r="B38" s="11"/>
      <c r="C38" s="12"/>
      <c r="D38" s="12"/>
      <c r="E38" s="12"/>
      <c r="F38" s="8"/>
      <c r="G38" s="12"/>
      <c r="H38" s="12"/>
      <c r="I38" s="12">
        <f>SUM(I2:I37)</f>
        <v>325.86</v>
      </c>
      <c r="J38" s="12">
        <f>SUM(J2:J37)</f>
        <v>13744</v>
      </c>
      <c r="K38" s="12"/>
      <c r="L38" s="12"/>
      <c r="M38" s="12">
        <f>SUM(M2:M37)</f>
        <v>352032</v>
      </c>
    </row>
  </sheetData>
  <autoFilter xmlns:etc="http://www.wps.cn/officeDocument/2017/etCustomData" ref="A1:O38" etc:filterBottomFollowUsedRange="0">
    <extLst/>
  </autoFilter>
  <conditionalFormatting sqref="D$1:D$1048576">
    <cfRule type="duplicateValues" dxfId="0" priority="1"/>
  </conditionalFormatting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何绍忆</cp:lastModifiedBy>
  <dcterms:created xsi:type="dcterms:W3CDTF">2026-05-09T08:42:00Z</dcterms:created>
  <dcterms:modified xsi:type="dcterms:W3CDTF">2026-05-14T17:18:26Z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76A402A0533B437BADF29EBF4A075EDB_12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