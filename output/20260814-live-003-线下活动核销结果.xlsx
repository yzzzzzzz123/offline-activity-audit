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销总览" sheetId="1" state="visible" r:id="rId1"/>
    <sheet xmlns:r="http://schemas.openxmlformats.org/officeDocument/2006/relationships" name="人员激励-SKU逐项" sheetId="2" state="visible" r:id="rId2"/>
    <sheet xmlns:r="http://schemas.openxmlformats.org/officeDocument/2006/relationships" name="人员激励-门店SKU明细" sheetId="3" state="visible" r:id="rId3"/>
    <sheet xmlns:r="http://schemas.openxmlformats.org/officeDocument/2006/relationships" name="人员激励-门店转账" sheetId="4" state="visible" r:id="rId4"/>
    <sheet xmlns:r="http://schemas.openxmlformats.org/officeDocument/2006/relationships" name="人员激励-转账凭证" sheetId="5" state="visible" r:id="rId5"/>
    <sheet xmlns:r="http://schemas.openxmlformats.org/officeDocument/2006/relationships" name="人员激励-异常补证" sheetId="6" state="visible" r:id="rId6"/>
    <sheet xmlns:r="http://schemas.openxmlformats.org/officeDocument/2006/relationships" name="堆头-逐店核验" sheetId="7" state="visible" r:id="rId7"/>
    <sheet xmlns:r="http://schemas.openxmlformats.org/officeDocument/2006/relationships" name="堆头-销售检查" sheetId="8" state="visible" r:id="rId8"/>
    <sheet xmlns:r="http://schemas.openxmlformats.org/officeDocument/2006/relationships" name="堆头-照片文件检查" sheetId="9" state="visible" r:id="rId9"/>
    <sheet xmlns:r="http://schemas.openxmlformats.org/officeDocument/2006/relationships" name="堆头-异常补证" sheetId="10" state="visible" r:id="rId10"/>
  </sheets>
  <definedNames>
    <definedName name="_xlnm._FilterDatabase" localSheetId="0" hidden="1">'核销总览'!$A$3:$J$6</definedName>
    <definedName name="_xlnm._FilterDatabase" localSheetId="1" hidden="1">'人员激励-SKU逐项'!$A$3:$R$14</definedName>
    <definedName name="_xlnm._FilterDatabase" localSheetId="2" hidden="1">'人员激励-门店SKU明细'!$A$3:$K$74</definedName>
    <definedName name="_xlnm._FilterDatabase" localSheetId="3" hidden="1">'人员激励-门店转账'!$A$3:$I$11</definedName>
    <definedName name="_xlnm._FilterDatabase" localSheetId="4" hidden="1">'人员激励-转账凭证'!$A$3:$I$10</definedName>
    <definedName name="_xlnm._FilterDatabase" localSheetId="5" hidden="1">'人员激励-异常补证'!$A$3:$F$10</definedName>
    <definedName name="_xlnm._FilterDatabase" localSheetId="6" hidden="1">'堆头-逐店核验'!$A$3:$N$24</definedName>
    <definedName name="_xlnm._FilterDatabase" localSheetId="7" hidden="1">'堆头-销售检查'!$A$12:$H$49</definedName>
    <definedName name="_xlnm._FilterDatabase" localSheetId="8" hidden="1">'堆头-照片文件检查'!$A$3:$I$24</definedName>
    <definedName name="_xlnm._FilterDatabase" localSheetId="9" hidden="1">'堆头-异常补证'!$A$3:$F$26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666666"/>
      <sz val="9"/>
    </font>
    <font>
      <name val="Microsoft YaHei"/>
      <b val="1"/>
      <color rgb="00FFFFFF"/>
      <sz val="10"/>
    </font>
    <font>
      <name val="Microsoft YaHei"/>
      <color rgb="000000FF"/>
      <sz val="10"/>
    </font>
    <font>
      <name val="Microsoft YaHei"/>
      <color rgb="00000000"/>
      <sz val="10"/>
    </font>
    <font>
      <name val="Microsoft YaHei"/>
      <b val="1"/>
      <color rgb="000000FF"/>
      <sz val="10"/>
    </font>
    <font>
      <name val="Microsoft YaHei"/>
      <b val="1"/>
      <color rgb="00000000"/>
      <sz val="10"/>
    </font>
    <font>
      <name val="Microsoft YaHei"/>
      <color rgb="00008000"/>
      <sz val="1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2">
    <xf numFmtId="0" fontId="0" fillId="0" borderId="0"/>
    <xf numFmtId="0" fontId="9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9" fillId="0" borderId="0" pivotButton="0" quotePrefix="0" xfId="1"/>
    <xf numFmtId="0" fontId="4" fillId="6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0154;&#21592;&#28608;&#21169;-SKU&#36880;&#39033;'!A1" TargetMode="External" Id="rId1"/><Relationship Type="http://schemas.openxmlformats.org/officeDocument/2006/relationships/hyperlink" Target="#'&#22534;&#22836;-&#36880;&#24215;&#26680;&#39564;'!A1" TargetMode="External" Id="rId2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7" customWidth="1" min="3" max="3"/>
    <col width="17" customWidth="1" min="4" max="4"/>
    <col width="17" customWidth="1" min="5" max="5"/>
    <col width="15" customWidth="1" min="6" max="6"/>
    <col width="20" customWidth="1" min="7" max="7"/>
    <col width="42" customWidth="1" min="8" max="8"/>
    <col width="72" customWidth="1" min="9" max="9"/>
    <col width="28" customWidth="1" min="10" max="10"/>
  </cols>
  <sheetData>
    <row r="1" ht="28" customHeight="1">
      <c r="A1" s="1" t="inlineStr">
        <is>
          <t>AI 核销试审结果（详细证据链版）</t>
        </is>
      </c>
    </row>
    <row r="2" ht="32" customHeight="1">
      <c r="A2" s="2" t="inlineStr">
        <is>
          <t>数量与门店证据先逐项核验，再汇总金额；AI结论用于辅助复核，不替代最终审批。</t>
        </is>
      </c>
    </row>
    <row r="3" ht="30" customHeight="1">
      <c r="A3" s="3" t="inlineStr">
        <is>
          <t>项目</t>
        </is>
      </c>
      <c r="B3" s="3" t="inlineStr">
        <is>
          <t>场景</t>
        </is>
      </c>
      <c r="C3" s="3" t="inlineStr">
        <is>
          <t>结算/申请金额</t>
        </is>
      </c>
      <c r="D3" s="3" t="inlineStr">
        <is>
          <t>证据支持金额</t>
        </is>
      </c>
      <c r="E3" s="3" t="inlineStr">
        <is>
          <t>建议通过金额</t>
        </is>
      </c>
      <c r="F3" s="3" t="inlineStr">
        <is>
          <t>暂挂金额</t>
        </is>
      </c>
      <c r="G3" s="3" t="inlineStr">
        <is>
          <t>AI结论</t>
        </is>
      </c>
      <c r="H3" s="3" t="inlineStr">
        <is>
          <t>逐项核验覆盖</t>
        </is>
      </c>
      <c r="I3" s="3" t="inlineStr">
        <is>
          <t>关键异常</t>
        </is>
      </c>
      <c r="J3" s="3" t="inlineStr">
        <is>
          <t>明细入口</t>
        </is>
      </c>
    </row>
    <row r="4">
      <c r="A4" s="4" t="inlineStr">
        <is>
          <t>SQ202604300025-HX202605260014-郑州雨瑶-人员激励</t>
        </is>
      </c>
      <c r="B4" s="4" t="inlineStr">
        <is>
          <t>人员激励</t>
        </is>
      </c>
      <c r="C4" s="4" t="n">
        <v>7350</v>
      </c>
      <c r="D4" s="5">
        <f>MIN('人员激励-SKU逐项'!Q14,'人员激励-门店转账'!E11)</f>
        <v/>
      </c>
      <c r="E4" s="6">
        <f>MIN(C4,D4)</f>
        <v/>
      </c>
      <c r="F4" s="6">
        <f>C4-E4</f>
        <v/>
      </c>
      <c r="G4" s="7" t="inlineStr">
        <is>
          <t>conditional_pass</t>
        </is>
      </c>
      <c r="H4" s="4" t="inlineStr">
        <is>
          <t>10/10个SKU数量匹配；70条门店SKU来源行</t>
        </is>
      </c>
      <c r="I4" s="4" t="inlineStr">
        <is>
          <t>结算单第1行SKU映射置信度为medium。；结算单第5行SKU映射置信度为medium。；结算单第9行SKU映射置信度为medium。</t>
        </is>
      </c>
      <c r="J4" s="8" t="inlineStr">
        <is>
          <t>查看“人员激励-SKU逐项”</t>
        </is>
      </c>
    </row>
    <row r="5">
      <c r="A5" s="4" t="inlineStr">
        <is>
          <t>SQ202603300076-HX202606040013-核销资料-诚成26年4月【堆头20家】</t>
        </is>
      </c>
      <c r="B5" s="4" t="inlineStr">
        <is>
          <t>堆头陈列</t>
        </is>
      </c>
      <c r="C5" s="4" t="n">
        <v>20000</v>
      </c>
      <c r="D5" s="5">
        <f>'堆头-逐店核验'!L24</f>
        <v/>
      </c>
      <c r="E5" s="6">
        <f>MIN(C5,D5)</f>
        <v/>
      </c>
      <c r="F5" s="6">
        <f>C5-E5</f>
        <v/>
      </c>
      <c r="G5" s="9" t="inlineStr">
        <is>
          <t>human_review</t>
        </is>
      </c>
      <c r="H5" s="4" t="inlineStr">
        <is>
          <t>0/20家通过；20家补证</t>
        </is>
      </c>
      <c r="I5" s="4" t="inlineStr">
        <is>
          <t>合同第1家“66广场家家欣”未通过：照片缺失、门店未匹配。；合同第2家“百佳华松岗店”未通过：照片缺失。；合同第3家“百佳华百货（公明店）”未通过：照片缺失。</t>
        </is>
      </c>
      <c r="J5" s="8" t="inlineStr">
        <is>
          <t>查看“堆头-逐店核验”</t>
        </is>
      </c>
    </row>
    <row r="6">
      <c r="A6" s="10" t="inlineStr">
        <is>
          <t>合计</t>
        </is>
      </c>
      <c r="B6" s="10" t="n"/>
      <c r="C6" s="10">
        <f>SUM(C4:C5)</f>
        <v/>
      </c>
      <c r="D6" s="10">
        <f>SUM(D4:D5)</f>
        <v/>
      </c>
      <c r="E6" s="10">
        <f>SUM(E4:E5)</f>
        <v/>
      </c>
      <c r="F6" s="10">
        <f>SUM(F4:F5)</f>
        <v/>
      </c>
      <c r="G6" s="10">
        <f>IF(F6=0,"全部通过","存在暂挂/补证")</f>
        <v/>
      </c>
      <c r="H6" s="10" t="n"/>
      <c r="I6" s="10" t="n"/>
      <c r="J6" s="10" t="n"/>
    </row>
  </sheetData>
  <autoFilter ref="A3:J6"/>
  <mergeCells count="2">
    <mergeCell ref="A1:J1"/>
    <mergeCell ref="A2:J2"/>
  </mergeCells>
  <hyperlinks>
    <hyperlink xmlns:r="http://schemas.openxmlformats.org/officeDocument/2006/relationships" ref="J4" r:id="rId1"/>
    <hyperlink xmlns:r="http://schemas.openxmlformats.org/officeDocument/2006/relationships" ref="J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7" customWidth="1" min="3" max="3"/>
    <col width="42" customWidth="1" min="4" max="4"/>
    <col width="18" customWidth="1" min="5" max="5"/>
    <col width="14" customWidth="1" min="6" max="6"/>
    <col width="14" customWidth="1" min="7" max="7"/>
    <col width="12" customWidth="1" min="8" max="8"/>
    <col width="12" customWidth="1" min="9" max="9"/>
    <col width="11" customWidth="1" min="10" max="10"/>
    <col width="15" customWidth="1" min="11" max="11"/>
    <col width="15" customWidth="1" min="12" max="12"/>
    <col width="17" customWidth="1" min="13" max="13"/>
    <col width="13" customWidth="1" min="14" max="14"/>
    <col width="12" customWidth="1" min="15" max="15"/>
    <col width="12" customWidth="1" min="16" max="16"/>
    <col width="13" customWidth="1" min="17" max="17"/>
    <col width="30" customWidth="1" min="18" max="18"/>
  </cols>
  <sheetData>
    <row r="1" ht="28" customHeight="1">
      <c r="A1" s="1" t="inlineStr">
        <is>
          <t>人员激励：Excel销售数量与结算单逐SKU 1:1勾稽</t>
        </is>
      </c>
    </row>
    <row r="2" ht="32" customHeight="1">
      <c r="A2" s="2" t="inlineStr">
        <is>
          <t>先按结算行映射唯一条码，再汇总7家门店Excel来源行；数量、单价、行金额和支持金额分别计算。</t>
        </is>
      </c>
    </row>
    <row r="3" ht="30" customHeight="1">
      <c r="A3" s="3" t="inlineStr">
        <is>
          <t>结算行</t>
        </is>
      </c>
      <c r="B3" s="3" t="inlineStr">
        <is>
          <t>结算单奖励单品</t>
        </is>
      </c>
      <c r="C3" s="3" t="inlineStr">
        <is>
          <t>对应条码</t>
        </is>
      </c>
      <c r="D3" s="3" t="inlineStr">
        <is>
          <t>Excel商品名称</t>
        </is>
      </c>
      <c r="E3" s="3" t="inlineStr">
        <is>
          <t>Excel来源行</t>
        </is>
      </c>
      <c r="F3" s="3" t="inlineStr">
        <is>
          <t>Excel销售数量</t>
        </is>
      </c>
      <c r="G3" s="3" t="inlineStr">
        <is>
          <t>结算销售数量</t>
        </is>
      </c>
      <c r="H3" s="3" t="inlineStr">
        <is>
          <t>数量差异</t>
        </is>
      </c>
      <c r="I3" s="3" t="inlineStr">
        <is>
          <t>数量状态</t>
        </is>
      </c>
      <c r="J3" s="3" t="inlineStr">
        <is>
          <t>奖励单价</t>
        </is>
      </c>
      <c r="K3" s="3" t="inlineStr">
        <is>
          <t>Excel应付金额</t>
        </is>
      </c>
      <c r="L3" s="3" t="inlineStr">
        <is>
          <t>结算应付金额</t>
        </is>
      </c>
      <c r="M3" s="3" t="inlineStr">
        <is>
          <t>结算行奖励金额</t>
        </is>
      </c>
      <c r="N3" s="3" t="inlineStr">
        <is>
          <t>行金额差异</t>
        </is>
      </c>
      <c r="O3" s="3" t="inlineStr">
        <is>
          <t>金额状态</t>
        </is>
      </c>
      <c r="P3" s="3" t="inlineStr">
        <is>
          <t>支持数量</t>
        </is>
      </c>
      <c r="Q3" s="3" t="inlineStr">
        <is>
          <t>支持金额</t>
        </is>
      </c>
      <c r="R3" s="3" t="inlineStr">
        <is>
          <t>映射依据/置信度</t>
        </is>
      </c>
    </row>
    <row r="4">
      <c r="A4" s="4" t="n">
        <v>1</v>
      </c>
      <c r="B4" s="4" t="inlineStr">
        <is>
          <t>羟基磷灰石修复牙膏</t>
        </is>
      </c>
      <c r="C4" s="4" t="inlineStr">
        <is>
          <t>6970356166832</t>
        </is>
      </c>
      <c r="D4" s="4" t="inlineStr">
        <is>
          <t>参半羟基磷灰石牙膏100g满陇桂雨味</t>
        </is>
      </c>
      <c r="E4" s="4" t="inlineStr">
        <is>
          <t>5,17,29,41,53,65,77</t>
        </is>
      </c>
      <c r="F4" s="4" t="n">
        <v>238</v>
      </c>
      <c r="G4" s="4" t="n">
        <v>238</v>
      </c>
      <c r="H4" s="6">
        <f>IF(OR(F4="",G4=""),"",F4-G4)</f>
        <v/>
      </c>
      <c r="I4" s="6">
        <f>IF(H4="","未匹配",IF(H4=0,"匹配","异常"))</f>
        <v/>
      </c>
      <c r="J4" s="4" t="n">
        <v>3</v>
      </c>
      <c r="K4" s="6">
        <f>IF(F4="","",F4*J4)</f>
        <v/>
      </c>
      <c r="L4" s="6">
        <f>G4*J4</f>
        <v/>
      </c>
      <c r="M4" s="4" t="n">
        <v>714</v>
      </c>
      <c r="N4" s="6">
        <f>M4-L4</f>
        <v/>
      </c>
      <c r="O4" s="6">
        <f>IF(N4=0,"匹配","异常")</f>
        <v/>
      </c>
      <c r="P4" s="6">
        <f>IF(OR(F4="",G4=""),0,MAX(0,MIN(F4,G4)))</f>
        <v/>
      </c>
      <c r="Q4" s="6">
        <f>P4*J4</f>
        <v/>
      </c>
      <c r="R4" s="4" t="inlineStr">
        <is>
          <t>The settlement prints no barcode. Selected the unique workbook SKU containing the distinctive 羟基磷灰石 toothpaste identity; the settlement adds 修复 and omits size/flavor. The barcode aggregate quantity of 238 corroborates the selection. / medium</t>
        </is>
      </c>
    </row>
    <row r="5">
      <c r="A5" s="4" t="n">
        <v>2</v>
      </c>
      <c r="B5" s="4" t="inlineStr">
        <is>
          <t>沸石净齿牙膏</t>
        </is>
      </c>
      <c r="C5" s="4" t="inlineStr">
        <is>
          <t>6970356162391</t>
        </is>
      </c>
      <c r="D5" s="4" t="inlineStr">
        <is>
          <t>参半沸石净齿牙膏140g清新苍兰</t>
        </is>
      </c>
      <c r="E5" s="4" t="inlineStr">
        <is>
          <t>6,18,30,42,54,66,78</t>
        </is>
      </c>
      <c r="F5" s="4" t="n">
        <v>275</v>
      </c>
      <c r="G5" s="4" t="n">
        <v>275</v>
      </c>
      <c r="H5" s="6">
        <f>IF(OR(F5="",G5=""),"",F5-G5)</f>
        <v/>
      </c>
      <c r="I5" s="6">
        <f>IF(H5="","未匹配",IF(H5=0,"匹配","异常"))</f>
        <v/>
      </c>
      <c r="J5" s="4" t="n">
        <v>3</v>
      </c>
      <c r="K5" s="6">
        <f>IF(F5="","",F5*J5)</f>
        <v/>
      </c>
      <c r="L5" s="6">
        <f>G5*J5</f>
        <v/>
      </c>
      <c r="M5" s="4" t="n">
        <v>825</v>
      </c>
      <c r="N5" s="6">
        <f>M5-L5</f>
        <v/>
      </c>
      <c r="O5" s="6">
        <f>IF(N5=0,"匹配","异常")</f>
        <v/>
      </c>
      <c r="P5" s="6">
        <f>IF(OR(F5="",G5=""),0,MAX(0,MIN(F5,G5)))</f>
        <v/>
      </c>
      <c r="Q5" s="6">
        <f>P5*J5</f>
        <v/>
      </c>
      <c r="R5" s="4" t="inlineStr">
        <is>
          <t>The settlement prints no barcode. This is the unique workbook SKU with the exact distinctive core identity 沸石净齿牙膏; only the workbook includes the size/flavor suffix. / high</t>
        </is>
      </c>
    </row>
    <row r="6">
      <c r="A6" s="4" t="n">
        <v>3</v>
      </c>
      <c r="B6" s="4" t="inlineStr">
        <is>
          <t>沸石美白牙膏</t>
        </is>
      </c>
      <c r="C6" s="4" t="inlineStr">
        <is>
          <t>6970356162810</t>
        </is>
      </c>
      <c r="D6" s="4" t="inlineStr">
        <is>
          <t>参半沸石美白牙膏140g海角雏菊</t>
        </is>
      </c>
      <c r="E6" s="4" t="inlineStr">
        <is>
          <t>7,19,31,43,55,67,79</t>
        </is>
      </c>
      <c r="F6" s="4" t="n">
        <v>284</v>
      </c>
      <c r="G6" s="4" t="n">
        <v>284</v>
      </c>
      <c r="H6" s="6">
        <f>IF(OR(F6="",G6=""),"",F6-G6)</f>
        <v/>
      </c>
      <c r="I6" s="6">
        <f>IF(H6="","未匹配",IF(H6=0,"匹配","异常"))</f>
        <v/>
      </c>
      <c r="J6" s="4" t="n">
        <v>3</v>
      </c>
      <c r="K6" s="6">
        <f>IF(F6="","",F6*J6)</f>
        <v/>
      </c>
      <c r="L6" s="6">
        <f>G6*J6</f>
        <v/>
      </c>
      <c r="M6" s="4" t="n">
        <v>852</v>
      </c>
      <c r="N6" s="6">
        <f>M6-L6</f>
        <v/>
      </c>
      <c r="O6" s="6">
        <f>IF(N6=0,"匹配","异常")</f>
        <v/>
      </c>
      <c r="P6" s="6">
        <f>IF(OR(F6="",G6=""),0,MAX(0,MIN(F6,G6)))</f>
        <v/>
      </c>
      <c r="Q6" s="6">
        <f>P6*J6</f>
        <v/>
      </c>
      <c r="R6" s="4" t="inlineStr">
        <is>
          <t>The settlement prints no barcode. This is the unique workbook SKU with the exact distinctive core identity 沸石美白牙膏; only the workbook includes the size/flavor suffix. / high</t>
        </is>
      </c>
    </row>
    <row r="7">
      <c r="A7" s="4" t="n">
        <v>4</v>
      </c>
      <c r="B7" s="4" t="inlineStr">
        <is>
          <t>1+2臻白套盒</t>
        </is>
      </c>
      <c r="C7" s="4" t="inlineStr">
        <is>
          <t>6970356164388</t>
        </is>
      </c>
      <c r="D7" s="4" t="inlineStr">
        <is>
          <t>参半臻白牙膏1+2特享装</t>
        </is>
      </c>
      <c r="E7" s="4" t="inlineStr">
        <is>
          <t>2,14,26,38,50,62,74</t>
        </is>
      </c>
      <c r="F7" s="4" t="n">
        <v>226</v>
      </c>
      <c r="G7" s="4" t="n">
        <v>226</v>
      </c>
      <c r="H7" s="6">
        <f>IF(OR(F7="",G7=""),"",F7-G7)</f>
        <v/>
      </c>
      <c r="I7" s="6">
        <f>IF(H7="","未匹配",IF(H7=0,"匹配","异常"))</f>
        <v/>
      </c>
      <c r="J7" s="4" t="n">
        <v>3</v>
      </c>
      <c r="K7" s="6">
        <f>IF(F7="","",F7*J7)</f>
        <v/>
      </c>
      <c r="L7" s="6">
        <f>G7*J7</f>
        <v/>
      </c>
      <c r="M7" s="4" t="n">
        <v>678</v>
      </c>
      <c r="N7" s="6">
        <f>M7-L7</f>
        <v/>
      </c>
      <c r="O7" s="6">
        <f>IF(N7=0,"匹配","异常")</f>
        <v/>
      </c>
      <c r="P7" s="6">
        <f>IF(OR(F7="",G7=""),0,MAX(0,MIN(F7,G7)))</f>
        <v/>
      </c>
      <c r="Q7" s="6">
        <f>P7*J7</f>
        <v/>
      </c>
      <c r="R7" s="4" t="inlineStr">
        <is>
          <t>The settlement prints no barcode. This is the unique SKU sharing the 1+2 and 臻白 bundle identity; the settlement calls it 套盒 while the workbook calls it 特享装. / high</t>
        </is>
      </c>
    </row>
    <row r="8">
      <c r="A8" s="4" t="n">
        <v>5</v>
      </c>
      <c r="B8" s="4" t="inlineStr">
        <is>
          <t>光白酵素1+1超值装牙膏</t>
        </is>
      </c>
      <c r="C8" s="4" t="inlineStr">
        <is>
          <t>6970356164395</t>
        </is>
      </c>
      <c r="D8" s="4" t="inlineStr">
        <is>
          <t>参半极光白酵素1+1超值装牙膏(极光白160g+龙井100g)</t>
        </is>
      </c>
      <c r="E8" s="4" t="inlineStr">
        <is>
          <t>8,20,32,44,56,68,80</t>
        </is>
      </c>
      <c r="F8" s="4" t="n">
        <v>225</v>
      </c>
      <c r="G8" s="4" t="n">
        <v>225</v>
      </c>
      <c r="H8" s="6">
        <f>IF(OR(F8="",G8=""),"",F8-G8)</f>
        <v/>
      </c>
      <c r="I8" s="6">
        <f>IF(H8="","未匹配",IF(H8=0,"匹配","异常"))</f>
        <v/>
      </c>
      <c r="J8" s="4" t="n">
        <v>3</v>
      </c>
      <c r="K8" s="6">
        <f>IF(F8="","",F8*J8)</f>
        <v/>
      </c>
      <c r="L8" s="6">
        <f>G8*J8</f>
        <v/>
      </c>
      <c r="M8" s="4" t="n">
        <v>675</v>
      </c>
      <c r="N8" s="6">
        <f>M8-L8</f>
        <v/>
      </c>
      <c r="O8" s="6">
        <f>IF(N8=0,"匹配","异常")</f>
        <v/>
      </c>
      <c r="P8" s="6">
        <f>IF(OR(F8="",G8=""),0,MAX(0,MIN(F8,G8)))</f>
        <v/>
      </c>
      <c r="Q8" s="6">
        <f>P8*J8</f>
        <v/>
      </c>
      <c r="R8" s="4" t="inlineStr">
        <is>
          <t>The settlement prints no barcode. This is the unique SKU sharing the 1+1, 光白酵素, and 超值装 identity; the workbook adds a leading 极 and component sizes. The barcode aggregate quantity of 225 corroborates the selection. / medium</t>
        </is>
      </c>
    </row>
    <row r="9">
      <c r="A9" s="4" t="n">
        <v>6</v>
      </c>
      <c r="B9" s="4" t="inlineStr">
        <is>
          <t>可益白牙膏葡萄知梨牙膏</t>
        </is>
      </c>
      <c r="C9" s="4" t="inlineStr">
        <is>
          <t>6970356169338</t>
        </is>
      </c>
      <c r="D9" s="4" t="inlineStr">
        <is>
          <t>参半可益白牙膏葡萄知梨120g</t>
        </is>
      </c>
      <c r="E9" s="4" t="inlineStr">
        <is>
          <t>10,22,34,46,58,70,82</t>
        </is>
      </c>
      <c r="F9" s="4" t="n">
        <v>252</v>
      </c>
      <c r="G9" s="4" t="n">
        <v>252</v>
      </c>
      <c r="H9" s="6">
        <f>IF(OR(F9="",G9=""),"",F9-G9)</f>
        <v/>
      </c>
      <c r="I9" s="6">
        <f>IF(H9="","未匹配",IF(H9=0,"匹配","异常"))</f>
        <v/>
      </c>
      <c r="J9" s="4" t="n">
        <v>3</v>
      </c>
      <c r="K9" s="6">
        <f>IF(F9="","",F9*J9)</f>
        <v/>
      </c>
      <c r="L9" s="6">
        <f>G9*J9</f>
        <v/>
      </c>
      <c r="M9" s="4" t="n">
        <v>756</v>
      </c>
      <c r="N9" s="6">
        <f>M9-L9</f>
        <v/>
      </c>
      <c r="O9" s="6">
        <f>IF(N9=0,"匹配","异常")</f>
        <v/>
      </c>
      <c r="P9" s="6">
        <f>IF(OR(F9="",G9=""),0,MAX(0,MIN(F9,G9)))</f>
        <v/>
      </c>
      <c r="Q9" s="6">
        <f>P9*J9</f>
        <v/>
      </c>
      <c r="R9" s="4" t="inlineStr">
        <is>
          <t>The settlement prints no barcode. This is the unique workbook SKU sharing both 可益白 and the distinctive 葡萄知梨 variant; the settlement repeats 牙膏 and omits size. / high</t>
        </is>
      </c>
    </row>
    <row r="10">
      <c r="A10" s="4" t="n">
        <v>7</v>
      </c>
      <c r="B10" s="4" t="inlineStr">
        <is>
          <t>可益清牙膏葡见茶爽牙膏</t>
        </is>
      </c>
      <c r="C10" s="4" t="inlineStr">
        <is>
          <t>6970356169321</t>
        </is>
      </c>
      <c r="D10" s="4" t="inlineStr">
        <is>
          <t>参半可益清牙膏葡见茶爽120g</t>
        </is>
      </c>
      <c r="E10" s="4" t="inlineStr">
        <is>
          <t>11,23,35,47,59,71,83</t>
        </is>
      </c>
      <c r="F10" s="4" t="n">
        <v>239</v>
      </c>
      <c r="G10" s="4" t="n">
        <v>239</v>
      </c>
      <c r="H10" s="6">
        <f>IF(OR(F10="",G10=""),"",F10-G10)</f>
        <v/>
      </c>
      <c r="I10" s="6">
        <f>IF(H10="","未匹配",IF(H10=0,"匹配","异常"))</f>
        <v/>
      </c>
      <c r="J10" s="4" t="n">
        <v>3</v>
      </c>
      <c r="K10" s="6">
        <f>IF(F10="","",F10*J10)</f>
        <v/>
      </c>
      <c r="L10" s="6">
        <f>G10*J10</f>
        <v/>
      </c>
      <c r="M10" s="4" t="n">
        <v>717</v>
      </c>
      <c r="N10" s="6">
        <f>M10-L10</f>
        <v/>
      </c>
      <c r="O10" s="6">
        <f>IF(N10=0,"匹配","异常")</f>
        <v/>
      </c>
      <c r="P10" s="6">
        <f>IF(OR(F10="",G10=""),0,MAX(0,MIN(F10,G10)))</f>
        <v/>
      </c>
      <c r="Q10" s="6">
        <f>P10*J10</f>
        <v/>
      </c>
      <c r="R10" s="4" t="inlineStr">
        <is>
          <t>The settlement prints no barcode. This is the unique workbook SKU sharing both 可益清 and the distinctive 葡见茶爽 variant; the settlement repeats 牙膏 and omits size. / high</t>
        </is>
      </c>
    </row>
    <row r="11">
      <c r="A11" s="4" t="n">
        <v>8</v>
      </c>
      <c r="B11" s="4" t="inlineStr">
        <is>
          <t>专研清新美白牙膏</t>
        </is>
      </c>
      <c r="C11" s="4" t="inlineStr">
        <is>
          <t>6970356162636</t>
        </is>
      </c>
      <c r="D11" s="4" t="inlineStr">
        <is>
          <t>参半专研清新美白牙膏100g</t>
        </is>
      </c>
      <c r="E11" s="4" t="inlineStr">
        <is>
          <t>9,21,33,45,57,69,81</t>
        </is>
      </c>
      <c r="F11" s="4" t="n">
        <v>278</v>
      </c>
      <c r="G11" s="4" t="n">
        <v>278</v>
      </c>
      <c r="H11" s="6">
        <f>IF(OR(F11="",G11=""),"",F11-G11)</f>
        <v/>
      </c>
      <c r="I11" s="6">
        <f>IF(H11="","未匹配",IF(H11=0,"匹配","异常"))</f>
        <v/>
      </c>
      <c r="J11" s="4" t="n">
        <v>3</v>
      </c>
      <c r="K11" s="6">
        <f>IF(F11="","",F11*J11)</f>
        <v/>
      </c>
      <c r="L11" s="6">
        <f>G11*J11</f>
        <v/>
      </c>
      <c r="M11" s="4" t="n">
        <v>834</v>
      </c>
      <c r="N11" s="6">
        <f>M11-L11</f>
        <v/>
      </c>
      <c r="O11" s="6">
        <f>IF(N11=0,"匹配","异常")</f>
        <v/>
      </c>
      <c r="P11" s="6">
        <f>IF(OR(F11="",G11=""),0,MAX(0,MIN(F11,G11)))</f>
        <v/>
      </c>
      <c r="Q11" s="6">
        <f>P11*J11</f>
        <v/>
      </c>
      <c r="R11" s="4" t="inlineStr">
        <is>
          <t>The settlement prints no barcode. This is the unique workbook SKU with the exact distinctive core identity 专研清新美白牙膏; brand and size are omitted on the settlement. / high</t>
        </is>
      </c>
    </row>
    <row r="12">
      <c r="A12" s="4" t="n">
        <v>9</v>
      </c>
      <c r="B12" s="4" t="inlineStr">
        <is>
          <t>SP-4美白牙膏</t>
        </is>
      </c>
      <c r="C12" s="4" t="inlineStr">
        <is>
          <t>6970356164289</t>
        </is>
      </c>
      <c r="D12" s="4" t="inlineStr">
        <is>
          <t>参半美白牙膏120g香域茉莉味</t>
        </is>
      </c>
      <c r="E12" s="4" t="inlineStr">
        <is>
          <t>4,16,28,40,52,64,76</t>
        </is>
      </c>
      <c r="F12" s="4" t="n">
        <v>190</v>
      </c>
      <c r="G12" s="4" t="n">
        <v>190</v>
      </c>
      <c r="H12" s="6">
        <f>IF(OR(F12="",G12=""),"",F12-G12)</f>
        <v/>
      </c>
      <c r="I12" s="6">
        <f>IF(H12="","未匹配",IF(H12=0,"匹配","异常"))</f>
        <v/>
      </c>
      <c r="J12" s="4" t="n">
        <v>3</v>
      </c>
      <c r="K12" s="6">
        <f>IF(F12="","",F12*J12)</f>
        <v/>
      </c>
      <c r="L12" s="6">
        <f>G12*J12</f>
        <v/>
      </c>
      <c r="M12" s="4" t="n">
        <v>570</v>
      </c>
      <c r="N12" s="6">
        <f>M12-L12</f>
        <v/>
      </c>
      <c r="O12" s="6">
        <f>IF(N12=0,"匹配","异常")</f>
        <v/>
      </c>
      <c r="P12" s="6">
        <f>IF(OR(F12="",G12=""),0,MAX(0,MIN(F12,G12)))</f>
        <v/>
      </c>
      <c r="Q12" s="6">
        <f>P12*J12</f>
        <v/>
      </c>
      <c r="R12" s="4" t="inlineStr">
        <is>
          <t>The settlement prints no barcode, and the workbook does not print the SP-4 alias. Selected the only otherwise-unmapped plain 美白牙膏 SKU after enforcing the one-line/one-barcode constraint; its aggregate quantity is 190. Other workbook names also contain 美白, so this mapping is medium rather than high. / medium</t>
        </is>
      </c>
    </row>
    <row r="13">
      <c r="A13" s="4" t="n">
        <v>10</v>
      </c>
      <c r="B13" s="4" t="inlineStr">
        <is>
          <t>SP-4清新牙膏</t>
        </is>
      </c>
      <c r="C13" s="4" t="inlineStr">
        <is>
          <t>6970356164296</t>
        </is>
      </c>
      <c r="D13" s="4" t="inlineStr">
        <is>
          <t>参半清新牙膏120g动感薄荷</t>
        </is>
      </c>
      <c r="E13" s="4" t="inlineStr">
        <is>
          <t>3,15,27,39,51,63,75</t>
        </is>
      </c>
      <c r="F13" s="4" t="n">
        <v>244</v>
      </c>
      <c r="G13" s="4" t="n">
        <v>244</v>
      </c>
      <c r="H13" s="6">
        <f>IF(OR(F13="",G13=""),"",F13-G13)</f>
        <v/>
      </c>
      <c r="I13" s="6">
        <f>IF(H13="","未匹配",IF(H13=0,"匹配","异常"))</f>
        <v/>
      </c>
      <c r="J13" s="4" t="n">
        <v>3</v>
      </c>
      <c r="K13" s="6">
        <f>IF(F13="","",F13*J13)</f>
        <v/>
      </c>
      <c r="L13" s="6">
        <f>G13*J13</f>
        <v/>
      </c>
      <c r="M13" s="4" t="n">
        <v>732</v>
      </c>
      <c r="N13" s="6">
        <f>M13-L13</f>
        <v/>
      </c>
      <c r="O13" s="6">
        <f>IF(N13=0,"匹配","异常")</f>
        <v/>
      </c>
      <c r="P13" s="6">
        <f>IF(OR(F13="",G13=""),0,MAX(0,MIN(F13,G13)))</f>
        <v/>
      </c>
      <c r="Q13" s="6">
        <f>P13*J13</f>
        <v/>
      </c>
      <c r="R13" s="4" t="inlineStr">
        <is>
          <t>The settlement prints no barcode, and the workbook does not print the SP-4 alias. Selected the only otherwise-unmapped plain 清新牙膏 SKU after enforcing the one-line/one-barcode constraint; its aggregate quantity is 244. Other workbook names also contain 清新, so this mapping is medium rather than high. / medium</t>
        </is>
      </c>
    </row>
    <row r="14">
      <c r="A14" s="11" t="inlineStr">
        <is>
          <t>合计</t>
        </is>
      </c>
      <c r="B14" s="10" t="n"/>
      <c r="C14" s="10" t="n"/>
      <c r="D14" s="10" t="n"/>
      <c r="E14" s="10" t="n"/>
      <c r="F14" s="10">
        <f>SUM(F4:F13)</f>
        <v/>
      </c>
      <c r="G14" s="10">
        <f>SUM(G4:G13)</f>
        <v/>
      </c>
      <c r="H14" s="10">
        <f>SUM(H4:H13)</f>
        <v/>
      </c>
      <c r="I14" s="10" t="n"/>
      <c r="J14" s="10">
        <f>SUM(J4:J13)</f>
        <v/>
      </c>
      <c r="K14" s="10">
        <f>SUM(K4:K13)</f>
        <v/>
      </c>
      <c r="L14" s="10">
        <f>SUM(L4:L13)</f>
        <v/>
      </c>
      <c r="M14" s="10">
        <f>SUM(M4:M13)</f>
        <v/>
      </c>
      <c r="N14" s="10">
        <f>SUM(N4:N13)</f>
        <v/>
      </c>
      <c r="O14" s="10" t="n"/>
      <c r="P14" s="10">
        <f>SUM(P4:P13)</f>
        <v/>
      </c>
      <c r="Q14" s="10">
        <f>SUM(Q4:Q13)</f>
        <v/>
      </c>
      <c r="R14" s="10" t="n"/>
    </row>
  </sheetData>
  <autoFilter ref="A3:R14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7" customWidth="1" min="4" max="4"/>
    <col width="45" customWidth="1" min="5" max="5"/>
    <col width="12" customWidth="1" min="6" max="6"/>
    <col width="12" customWidth="1" min="7" max="7"/>
    <col width="10" customWidth="1" min="8" max="8"/>
    <col width="30" customWidth="1" min="9" max="9"/>
    <col width="12" customWidth="1" min="10" max="10"/>
    <col width="15" customWidth="1" min="11" max="11"/>
  </cols>
  <sheetData>
    <row r="1" ht="28" customHeight="1">
      <c r="A1" s="1" t="inlineStr">
        <is>
          <t>人员激励：70条门店×SKU销售来源明细</t>
        </is>
      </c>
    </row>
    <row r="2" ht="32" customHeight="1">
      <c r="A2" s="2" t="inlineStr">
        <is>
          <t>每一行均保留原Excel行号，并回指结算单行；这是SKU汇总数量的底层证据链。</t>
        </is>
      </c>
    </row>
    <row r="3" ht="30" customHeight="1">
      <c r="A3" s="3" t="inlineStr">
        <is>
          <t>Excel行</t>
        </is>
      </c>
      <c r="B3" s="3" t="inlineStr">
        <is>
          <t>期间</t>
        </is>
      </c>
      <c r="C3" s="3" t="inlineStr">
        <is>
          <t>门店</t>
        </is>
      </c>
      <c r="D3" s="3" t="inlineStr">
        <is>
          <t>条码</t>
        </is>
      </c>
      <c r="E3" s="3" t="inlineStr">
        <is>
          <t>Excel商品名称</t>
        </is>
      </c>
      <c r="F3" s="3" t="inlineStr">
        <is>
          <t>销售数量</t>
        </is>
      </c>
      <c r="G3" s="3" t="inlineStr">
        <is>
          <t>销售单价</t>
        </is>
      </c>
      <c r="H3" s="3" t="inlineStr">
        <is>
          <t>结算行</t>
        </is>
      </c>
      <c r="I3" s="3" t="inlineStr">
        <is>
          <t>结算单品</t>
        </is>
      </c>
      <c r="J3" s="3" t="inlineStr">
        <is>
          <t>奖励单价</t>
        </is>
      </c>
      <c r="K3" s="3" t="inlineStr">
        <is>
          <t>该行应付奖励</t>
        </is>
      </c>
    </row>
    <row r="4">
      <c r="A4" s="4" t="n">
        <v>2</v>
      </c>
      <c r="B4" s="4" t="inlineStr">
        <is>
          <t>5.1-5.20</t>
        </is>
      </c>
      <c r="C4" s="4" t="inlineStr">
        <is>
          <t>云朵饰品</t>
        </is>
      </c>
      <c r="D4" s="4" t="inlineStr">
        <is>
          <t>6970356164388</t>
        </is>
      </c>
      <c r="E4" s="4" t="inlineStr">
        <is>
          <t>参半臻白牙膏1+2特享装</t>
        </is>
      </c>
      <c r="F4" s="4" t="n">
        <v>44</v>
      </c>
      <c r="G4" s="4" t="n">
        <v>29.9</v>
      </c>
      <c r="H4" s="4" t="n">
        <v>4</v>
      </c>
      <c r="I4" s="4" t="inlineStr">
        <is>
          <t>1+2臻白套盒</t>
        </is>
      </c>
      <c r="J4" s="4" t="n">
        <v>3</v>
      </c>
      <c r="K4" s="6">
        <f>IF(OR(F4="",J4=""),"",F4*J4)</f>
        <v/>
      </c>
    </row>
    <row r="5">
      <c r="A5" s="4" t="n">
        <v>3</v>
      </c>
      <c r="B5" s="4" t="inlineStr">
        <is>
          <t>5.1-5.20</t>
        </is>
      </c>
      <c r="C5" s="4" t="inlineStr">
        <is>
          <t>云朵饰品</t>
        </is>
      </c>
      <c r="D5" s="4" t="inlineStr">
        <is>
          <t>6970356164296</t>
        </is>
      </c>
      <c r="E5" s="4" t="inlineStr">
        <is>
          <t>参半清新牙膏120g动感薄荷</t>
        </is>
      </c>
      <c r="F5" s="4" t="n">
        <v>47</v>
      </c>
      <c r="G5" s="4" t="n">
        <v>29.9</v>
      </c>
      <c r="H5" s="4" t="n">
        <v>10</v>
      </c>
      <c r="I5" s="4" t="inlineStr">
        <is>
          <t>SP-4清新牙膏</t>
        </is>
      </c>
      <c r="J5" s="4" t="n">
        <v>3</v>
      </c>
      <c r="K5" s="6">
        <f>IF(OR(F5="",J5=""),"",F5*J5)</f>
        <v/>
      </c>
    </row>
    <row r="6">
      <c r="A6" s="4" t="n">
        <v>4</v>
      </c>
      <c r="B6" s="4" t="inlineStr">
        <is>
          <t>5.1-5.20</t>
        </is>
      </c>
      <c r="C6" s="4" t="inlineStr">
        <is>
          <t>云朵饰品</t>
        </is>
      </c>
      <c r="D6" s="4" t="inlineStr">
        <is>
          <t>6970356164289</t>
        </is>
      </c>
      <c r="E6" s="4" t="inlineStr">
        <is>
          <t>参半美白牙膏120g香域茉莉味</t>
        </is>
      </c>
      <c r="F6" s="4" t="n">
        <v>36</v>
      </c>
      <c r="G6" s="4" t="n">
        <v>29.9</v>
      </c>
      <c r="H6" s="4" t="n">
        <v>9</v>
      </c>
      <c r="I6" s="4" t="inlineStr">
        <is>
          <t>SP-4美白牙膏</t>
        </is>
      </c>
      <c r="J6" s="4" t="n">
        <v>3</v>
      </c>
      <c r="K6" s="6">
        <f>IF(OR(F6="",J6=""),"",F6*J6)</f>
        <v/>
      </c>
    </row>
    <row r="7">
      <c r="A7" s="4" t="n">
        <v>5</v>
      </c>
      <c r="B7" s="4" t="inlineStr">
        <is>
          <t>5.1-5.20</t>
        </is>
      </c>
      <c r="C7" s="4" t="inlineStr">
        <is>
          <t>云朵饰品</t>
        </is>
      </c>
      <c r="D7" s="4" t="inlineStr">
        <is>
          <t>6970356166832</t>
        </is>
      </c>
      <c r="E7" s="4" t="inlineStr">
        <is>
          <t>参半羟基磷灰石牙膏100g满陇桂雨味</t>
        </is>
      </c>
      <c r="F7" s="4" t="n">
        <v>22</v>
      </c>
      <c r="G7" s="4" t="n">
        <v>24.9</v>
      </c>
      <c r="H7" s="4" t="n">
        <v>1</v>
      </c>
      <c r="I7" s="4" t="inlineStr">
        <is>
          <t>羟基磷灰石修复牙膏</t>
        </is>
      </c>
      <c r="J7" s="4" t="n">
        <v>3</v>
      </c>
      <c r="K7" s="6">
        <f>IF(OR(F7="",J7=""),"",F7*J7)</f>
        <v/>
      </c>
    </row>
    <row r="8">
      <c r="A8" s="4" t="n">
        <v>6</v>
      </c>
      <c r="B8" s="4" t="inlineStr">
        <is>
          <t>5.1-5.20</t>
        </is>
      </c>
      <c r="C8" s="4" t="inlineStr">
        <is>
          <t>云朵饰品</t>
        </is>
      </c>
      <c r="D8" s="4" t="inlineStr">
        <is>
          <t>6970356162391</t>
        </is>
      </c>
      <c r="E8" s="4" t="inlineStr">
        <is>
          <t>参半沸石净齿牙膏140g清新苍兰</t>
        </is>
      </c>
      <c r="F8" s="4" t="n">
        <v>48</v>
      </c>
      <c r="G8" s="4" t="n">
        <v>29.9</v>
      </c>
      <c r="H8" s="4" t="n">
        <v>2</v>
      </c>
      <c r="I8" s="4" t="inlineStr">
        <is>
          <t>沸石净齿牙膏</t>
        </is>
      </c>
      <c r="J8" s="4" t="n">
        <v>3</v>
      </c>
      <c r="K8" s="6">
        <f>IF(OR(F8="",J8=""),"",F8*J8)</f>
        <v/>
      </c>
    </row>
    <row r="9">
      <c r="A9" s="4" t="n">
        <v>7</v>
      </c>
      <c r="B9" s="4" t="inlineStr">
        <is>
          <t>5.1-5.20</t>
        </is>
      </c>
      <c r="C9" s="4" t="inlineStr">
        <is>
          <t>云朵饰品</t>
        </is>
      </c>
      <c r="D9" s="4" t="inlineStr">
        <is>
          <t>6970356162810</t>
        </is>
      </c>
      <c r="E9" s="4" t="inlineStr">
        <is>
          <t>参半沸石美白牙膏140g海角雏菊</t>
        </is>
      </c>
      <c r="F9" s="4" t="n">
        <v>60</v>
      </c>
      <c r="G9" s="4" t="n">
        <v>29.9</v>
      </c>
      <c r="H9" s="4" t="n">
        <v>3</v>
      </c>
      <c r="I9" s="4" t="inlineStr">
        <is>
          <t>沸石美白牙膏</t>
        </is>
      </c>
      <c r="J9" s="4" t="n">
        <v>3</v>
      </c>
      <c r="K9" s="6">
        <f>IF(OR(F9="",J9=""),"",F9*J9)</f>
        <v/>
      </c>
    </row>
    <row r="10">
      <c r="A10" s="4" t="n">
        <v>8</v>
      </c>
      <c r="B10" s="4" t="inlineStr">
        <is>
          <t>5.1-5.20</t>
        </is>
      </c>
      <c r="C10" s="4" t="inlineStr">
        <is>
          <t>云朵饰品</t>
        </is>
      </c>
      <c r="D10" s="4" t="inlineStr">
        <is>
          <t>6970356164395</t>
        </is>
      </c>
      <c r="E10" s="4" t="inlineStr">
        <is>
          <t>参半极光白酵素1+1超值装牙膏(极光白160g+龙井100g)</t>
        </is>
      </c>
      <c r="F10" s="4" t="n">
        <v>28</v>
      </c>
      <c r="G10" s="4" t="n">
        <v>19.9</v>
      </c>
      <c r="H10" s="4" t="n">
        <v>5</v>
      </c>
      <c r="I10" s="4" t="inlineStr">
        <is>
          <t>光白酵素1+1超值装牙膏</t>
        </is>
      </c>
      <c r="J10" s="4" t="n">
        <v>3</v>
      </c>
      <c r="K10" s="6">
        <f>IF(OR(F10="",J10=""),"",F10*J10)</f>
        <v/>
      </c>
    </row>
    <row r="11">
      <c r="A11" s="4" t="n">
        <v>9</v>
      </c>
      <c r="B11" s="4" t="inlineStr">
        <is>
          <t>5.1-5.20</t>
        </is>
      </c>
      <c r="C11" s="4" t="inlineStr">
        <is>
          <t>云朵饰品</t>
        </is>
      </c>
      <c r="D11" s="4" t="inlineStr">
        <is>
          <t>6970356162636</t>
        </is>
      </c>
      <c r="E11" s="4" t="inlineStr">
        <is>
          <t>参半专研清新美白牙膏100g</t>
        </is>
      </c>
      <c r="F11" s="4" t="n">
        <v>18</v>
      </c>
      <c r="G11" s="4" t="n">
        <v>29.9</v>
      </c>
      <c r="H11" s="4" t="n">
        <v>8</v>
      </c>
      <c r="I11" s="4" t="inlineStr">
        <is>
          <t>专研清新美白牙膏</t>
        </is>
      </c>
      <c r="J11" s="4" t="n">
        <v>3</v>
      </c>
      <c r="K11" s="6">
        <f>IF(OR(F11="",J11=""),"",F11*J11)</f>
        <v/>
      </c>
    </row>
    <row r="12">
      <c r="A12" s="4" t="n">
        <v>10</v>
      </c>
      <c r="B12" s="4" t="inlineStr">
        <is>
          <t>5.1-5.20</t>
        </is>
      </c>
      <c r="C12" s="4" t="inlineStr">
        <is>
          <t>云朵饰品</t>
        </is>
      </c>
      <c r="D12" s="4" t="inlineStr">
        <is>
          <t>6970356169338</t>
        </is>
      </c>
      <c r="E12" s="4" t="inlineStr">
        <is>
          <t>参半可益白牙膏葡萄知梨120g</t>
        </is>
      </c>
      <c r="F12" s="4" t="n">
        <v>18</v>
      </c>
      <c r="G12" s="4" t="n">
        <v>29.9</v>
      </c>
      <c r="H12" s="4" t="n">
        <v>6</v>
      </c>
      <c r="I12" s="4" t="inlineStr">
        <is>
          <t>可益白牙膏葡萄知梨牙膏</t>
        </is>
      </c>
      <c r="J12" s="4" t="n">
        <v>3</v>
      </c>
      <c r="K12" s="6">
        <f>IF(OR(F12="",J12=""),"",F12*J12)</f>
        <v/>
      </c>
    </row>
    <row r="13">
      <c r="A13" s="4" t="n">
        <v>11</v>
      </c>
      <c r="B13" s="4" t="inlineStr">
        <is>
          <t>5.1-5.20</t>
        </is>
      </c>
      <c r="C13" s="4" t="inlineStr">
        <is>
          <t>云朵饰品</t>
        </is>
      </c>
      <c r="D13" s="4" t="inlineStr">
        <is>
          <t>6970356169321</t>
        </is>
      </c>
      <c r="E13" s="4" t="inlineStr">
        <is>
          <t>参半可益清牙膏葡见茶爽120g</t>
        </is>
      </c>
      <c r="F13" s="4" t="n">
        <v>24</v>
      </c>
      <c r="G13" s="4" t="n">
        <v>29.9</v>
      </c>
      <c r="H13" s="4" t="n">
        <v>7</v>
      </c>
      <c r="I13" s="4" t="inlineStr">
        <is>
          <t>可益清牙膏葡见茶爽牙膏</t>
        </is>
      </c>
      <c r="J13" s="4" t="n">
        <v>3</v>
      </c>
      <c r="K13" s="6">
        <f>IF(OR(F13="",J13=""),"",F13*J13)</f>
        <v/>
      </c>
    </row>
    <row r="14">
      <c r="A14" s="4" t="n">
        <v>14</v>
      </c>
      <c r="B14" s="4" t="inlineStr">
        <is>
          <t>5.1-5.20</t>
        </is>
      </c>
      <c r="C14" s="4" t="inlineStr">
        <is>
          <t>红梅名妆</t>
        </is>
      </c>
      <c r="D14" s="4" t="inlineStr">
        <is>
          <t>6970356164388</t>
        </is>
      </c>
      <c r="E14" s="4" t="inlineStr">
        <is>
          <t>参半臻白牙膏1+2特享装</t>
        </is>
      </c>
      <c r="F14" s="4" t="n">
        <v>42</v>
      </c>
      <c r="G14" s="4" t="n">
        <v>29.9</v>
      </c>
      <c r="H14" s="4" t="n">
        <v>4</v>
      </c>
      <c r="I14" s="4" t="inlineStr">
        <is>
          <t>1+2臻白套盒</t>
        </is>
      </c>
      <c r="J14" s="4" t="n">
        <v>3</v>
      </c>
      <c r="K14" s="6">
        <f>IF(OR(F14="",J14=""),"",F14*J14)</f>
        <v/>
      </c>
    </row>
    <row r="15">
      <c r="A15" s="4" t="n">
        <v>15</v>
      </c>
      <c r="B15" s="4" t="inlineStr">
        <is>
          <t>5.1-5.20</t>
        </is>
      </c>
      <c r="C15" s="4" t="inlineStr">
        <is>
          <t>红梅名妆</t>
        </is>
      </c>
      <c r="D15" s="4" t="inlineStr">
        <is>
          <t>6970356164296</t>
        </is>
      </c>
      <c r="E15" s="4" t="inlineStr">
        <is>
          <t>参半清新牙膏120g动感薄荷</t>
        </is>
      </c>
      <c r="F15" s="4" t="n">
        <v>23</v>
      </c>
      <c r="G15" s="4" t="n">
        <v>29.9</v>
      </c>
      <c r="H15" s="4" t="n">
        <v>10</v>
      </c>
      <c r="I15" s="4" t="inlineStr">
        <is>
          <t>SP-4清新牙膏</t>
        </is>
      </c>
      <c r="J15" s="4" t="n">
        <v>3</v>
      </c>
      <c r="K15" s="6">
        <f>IF(OR(F15="",J15=""),"",F15*J15)</f>
        <v/>
      </c>
    </row>
    <row r="16">
      <c r="A16" s="4" t="n">
        <v>16</v>
      </c>
      <c r="B16" s="4" t="inlineStr">
        <is>
          <t>5.1-5.20</t>
        </is>
      </c>
      <c r="C16" s="4" t="inlineStr">
        <is>
          <t>红梅名妆</t>
        </is>
      </c>
      <c r="D16" s="4" t="inlineStr">
        <is>
          <t>6970356164289</t>
        </is>
      </c>
      <c r="E16" s="4" t="inlineStr">
        <is>
          <t>参半美白牙膏120g香域茉莉味</t>
        </is>
      </c>
      <c r="F16" s="4" t="n">
        <v>24</v>
      </c>
      <c r="G16" s="4" t="n">
        <v>29.9</v>
      </c>
      <c r="H16" s="4" t="n">
        <v>9</v>
      </c>
      <c r="I16" s="4" t="inlineStr">
        <is>
          <t>SP-4美白牙膏</t>
        </is>
      </c>
      <c r="J16" s="4" t="n">
        <v>3</v>
      </c>
      <c r="K16" s="6">
        <f>IF(OR(F16="",J16=""),"",F16*J16)</f>
        <v/>
      </c>
    </row>
    <row r="17">
      <c r="A17" s="4" t="n">
        <v>17</v>
      </c>
      <c r="B17" s="4" t="inlineStr">
        <is>
          <t>5.1-5.20</t>
        </is>
      </c>
      <c r="C17" s="4" t="inlineStr">
        <is>
          <t>红梅名妆</t>
        </is>
      </c>
      <c r="D17" s="4" t="inlineStr">
        <is>
          <t>6970356166832</t>
        </is>
      </c>
      <c r="E17" s="4" t="inlineStr">
        <is>
          <t>参半羟基磷灰石牙膏100g满陇桂雨味</t>
        </is>
      </c>
      <c r="F17" s="4" t="n">
        <v>48</v>
      </c>
      <c r="G17" s="4" t="n">
        <v>24.9</v>
      </c>
      <c r="H17" s="4" t="n">
        <v>1</v>
      </c>
      <c r="I17" s="4" t="inlineStr">
        <is>
          <t>羟基磷灰石修复牙膏</t>
        </is>
      </c>
      <c r="J17" s="4" t="n">
        <v>3</v>
      </c>
      <c r="K17" s="6">
        <f>IF(OR(F17="",J17=""),"",F17*J17)</f>
        <v/>
      </c>
    </row>
    <row r="18">
      <c r="A18" s="4" t="n">
        <v>18</v>
      </c>
      <c r="B18" s="4" t="inlineStr">
        <is>
          <t>5.1-5.20</t>
        </is>
      </c>
      <c r="C18" s="4" t="inlineStr">
        <is>
          <t>红梅名妆</t>
        </is>
      </c>
      <c r="D18" s="4" t="inlineStr">
        <is>
          <t>6970356162391</t>
        </is>
      </c>
      <c r="E18" s="4" t="inlineStr">
        <is>
          <t>参半沸石净齿牙膏140g清新苍兰</t>
        </is>
      </c>
      <c r="F18" s="4" t="n">
        <v>28</v>
      </c>
      <c r="G18" s="4" t="n">
        <v>29.9</v>
      </c>
      <c r="H18" s="4" t="n">
        <v>2</v>
      </c>
      <c r="I18" s="4" t="inlineStr">
        <is>
          <t>沸石净齿牙膏</t>
        </is>
      </c>
      <c r="J18" s="4" t="n">
        <v>3</v>
      </c>
      <c r="K18" s="6">
        <f>IF(OR(F18="",J18=""),"",F18*J18)</f>
        <v/>
      </c>
    </row>
    <row r="19">
      <c r="A19" s="4" t="n">
        <v>19</v>
      </c>
      <c r="B19" s="4" t="inlineStr">
        <is>
          <t>5.1-5.20</t>
        </is>
      </c>
      <c r="C19" s="4" t="inlineStr">
        <is>
          <t>红梅名妆</t>
        </is>
      </c>
      <c r="D19" s="4" t="inlineStr">
        <is>
          <t>6970356162810</t>
        </is>
      </c>
      <c r="E19" s="4" t="inlineStr">
        <is>
          <t>参半沸石美白牙膏140g海角雏菊</t>
        </is>
      </c>
      <c r="F19" s="4" t="n">
        <v>36</v>
      </c>
      <c r="G19" s="4" t="n">
        <v>29.9</v>
      </c>
      <c r="H19" s="4" t="n">
        <v>3</v>
      </c>
      <c r="I19" s="4" t="inlineStr">
        <is>
          <t>沸石美白牙膏</t>
        </is>
      </c>
      <c r="J19" s="4" t="n">
        <v>3</v>
      </c>
      <c r="K19" s="6">
        <f>IF(OR(F19="",J19=""),"",F19*J19)</f>
        <v/>
      </c>
    </row>
    <row r="20">
      <c r="A20" s="4" t="n">
        <v>20</v>
      </c>
      <c r="B20" s="4" t="inlineStr">
        <is>
          <t>5.1-5.20</t>
        </is>
      </c>
      <c r="C20" s="4" t="inlineStr">
        <is>
          <t>红梅名妆</t>
        </is>
      </c>
      <c r="D20" s="4" t="inlineStr">
        <is>
          <t>6970356164395</t>
        </is>
      </c>
      <c r="E20" s="4" t="inlineStr">
        <is>
          <t>参半极光白酵素1+1超值装牙膏(极光白160g+龙井100g)</t>
        </is>
      </c>
      <c r="F20" s="4" t="n">
        <v>42</v>
      </c>
      <c r="G20" s="4" t="n">
        <v>19.9</v>
      </c>
      <c r="H20" s="4" t="n">
        <v>5</v>
      </c>
      <c r="I20" s="4" t="inlineStr">
        <is>
          <t>光白酵素1+1超值装牙膏</t>
        </is>
      </c>
      <c r="J20" s="4" t="n">
        <v>3</v>
      </c>
      <c r="K20" s="6">
        <f>IF(OR(F20="",J20=""),"",F20*J20)</f>
        <v/>
      </c>
    </row>
    <row r="21">
      <c r="A21" s="4" t="n">
        <v>21</v>
      </c>
      <c r="B21" s="4" t="inlineStr">
        <is>
          <t>5.1-5.20</t>
        </is>
      </c>
      <c r="C21" s="4" t="inlineStr">
        <is>
          <t>红梅名妆</t>
        </is>
      </c>
      <c r="D21" s="4" t="inlineStr">
        <is>
          <t>6970356162636</t>
        </is>
      </c>
      <c r="E21" s="4" t="inlineStr">
        <is>
          <t>参半专研清新美白牙膏100g</t>
        </is>
      </c>
      <c r="F21" s="4" t="n">
        <v>36</v>
      </c>
      <c r="G21" s="4" t="n">
        <v>29.9</v>
      </c>
      <c r="H21" s="4" t="n">
        <v>8</v>
      </c>
      <c r="I21" s="4" t="inlineStr">
        <is>
          <t>专研清新美白牙膏</t>
        </is>
      </c>
      <c r="J21" s="4" t="n">
        <v>3</v>
      </c>
      <c r="K21" s="6">
        <f>IF(OR(F21="",J21=""),"",F21*J21)</f>
        <v/>
      </c>
    </row>
    <row r="22">
      <c r="A22" s="4" t="n">
        <v>22</v>
      </c>
      <c r="B22" s="4" t="inlineStr">
        <is>
          <t>5.1-5.20</t>
        </is>
      </c>
      <c r="C22" s="4" t="inlineStr">
        <is>
          <t>红梅名妆</t>
        </is>
      </c>
      <c r="D22" s="4" t="inlineStr">
        <is>
          <t>6970356169338</t>
        </is>
      </c>
      <c r="E22" s="4" t="inlineStr">
        <is>
          <t>参半可益白牙膏葡萄知梨120g</t>
        </is>
      </c>
      <c r="F22" s="4" t="n">
        <v>36</v>
      </c>
      <c r="G22" s="4" t="n">
        <v>29.9</v>
      </c>
      <c r="H22" s="4" t="n">
        <v>6</v>
      </c>
      <c r="I22" s="4" t="inlineStr">
        <is>
          <t>可益白牙膏葡萄知梨牙膏</t>
        </is>
      </c>
      <c r="J22" s="4" t="n">
        <v>3</v>
      </c>
      <c r="K22" s="6">
        <f>IF(OR(F22="",J22=""),"",F22*J22)</f>
        <v/>
      </c>
    </row>
    <row r="23">
      <c r="A23" s="4" t="n">
        <v>23</v>
      </c>
      <c r="B23" s="4" t="inlineStr">
        <is>
          <t>5.1-5.20</t>
        </is>
      </c>
      <c r="C23" s="4" t="inlineStr">
        <is>
          <t>红梅名妆</t>
        </is>
      </c>
      <c r="D23" s="4" t="inlineStr">
        <is>
          <t>6970356169321</t>
        </is>
      </c>
      <c r="E23" s="4" t="inlineStr">
        <is>
          <t>参半可益清牙膏葡见茶爽120g</t>
        </is>
      </c>
      <c r="F23" s="4" t="n">
        <v>37</v>
      </c>
      <c r="G23" s="4" t="n">
        <v>29.9</v>
      </c>
      <c r="H23" s="4" t="n">
        <v>7</v>
      </c>
      <c r="I23" s="4" t="inlineStr">
        <is>
          <t>可益清牙膏葡见茶爽牙膏</t>
        </is>
      </c>
      <c r="J23" s="4" t="n">
        <v>3</v>
      </c>
      <c r="K23" s="6">
        <f>IF(OR(F23="",J23=""),"",F23*J23)</f>
        <v/>
      </c>
    </row>
    <row r="24">
      <c r="A24" s="4" t="n">
        <v>26</v>
      </c>
      <c r="B24" s="4" t="inlineStr">
        <is>
          <t>5.1-5.20</t>
        </is>
      </c>
      <c r="C24" s="4" t="inlineStr">
        <is>
          <t>丽源名妆</t>
        </is>
      </c>
      <c r="D24" s="4" t="inlineStr">
        <is>
          <t>6970356164388</t>
        </is>
      </c>
      <c r="E24" s="4" t="inlineStr">
        <is>
          <t>参半臻白牙膏1+2特享装</t>
        </is>
      </c>
      <c r="F24" s="4" t="n">
        <v>18</v>
      </c>
      <c r="G24" s="4" t="n">
        <v>29.9</v>
      </c>
      <c r="H24" s="4" t="n">
        <v>4</v>
      </c>
      <c r="I24" s="4" t="inlineStr">
        <is>
          <t>1+2臻白套盒</t>
        </is>
      </c>
      <c r="J24" s="4" t="n">
        <v>3</v>
      </c>
      <c r="K24" s="6">
        <f>IF(OR(F24="",J24=""),"",F24*J24)</f>
        <v/>
      </c>
    </row>
    <row r="25">
      <c r="A25" s="4" t="n">
        <v>27</v>
      </c>
      <c r="B25" s="4" t="inlineStr">
        <is>
          <t>5.1-5.20</t>
        </is>
      </c>
      <c r="C25" s="4" t="inlineStr">
        <is>
          <t>丽源名妆</t>
        </is>
      </c>
      <c r="D25" s="4" t="inlineStr">
        <is>
          <t>6970356164296</t>
        </is>
      </c>
      <c r="E25" s="4" t="inlineStr">
        <is>
          <t>参半清新牙膏120g动感薄荷</t>
        </is>
      </c>
      <c r="F25" s="4" t="n">
        <v>48</v>
      </c>
      <c r="G25" s="4" t="n">
        <v>29.9</v>
      </c>
      <c r="H25" s="4" t="n">
        <v>10</v>
      </c>
      <c r="I25" s="4" t="inlineStr">
        <is>
          <t>SP-4清新牙膏</t>
        </is>
      </c>
      <c r="J25" s="4" t="n">
        <v>3</v>
      </c>
      <c r="K25" s="6">
        <f>IF(OR(F25="",J25=""),"",F25*J25)</f>
        <v/>
      </c>
    </row>
    <row r="26">
      <c r="A26" s="4" t="n">
        <v>28</v>
      </c>
      <c r="B26" s="4" t="inlineStr">
        <is>
          <t>5.1-5.20</t>
        </is>
      </c>
      <c r="C26" s="4" t="inlineStr">
        <is>
          <t>丽源名妆</t>
        </is>
      </c>
      <c r="D26" s="4" t="inlineStr">
        <is>
          <t>6970356164289</t>
        </is>
      </c>
      <c r="E26" s="4" t="inlineStr">
        <is>
          <t>参半美白牙膏120g香域茉莉味</t>
        </is>
      </c>
      <c r="F26" s="4" t="n">
        <v>24</v>
      </c>
      <c r="G26" s="4" t="n">
        <v>29.9</v>
      </c>
      <c r="H26" s="4" t="n">
        <v>9</v>
      </c>
      <c r="I26" s="4" t="inlineStr">
        <is>
          <t>SP-4美白牙膏</t>
        </is>
      </c>
      <c r="J26" s="4" t="n">
        <v>3</v>
      </c>
      <c r="K26" s="6">
        <f>IF(OR(F26="",J26=""),"",F26*J26)</f>
        <v/>
      </c>
    </row>
    <row r="27">
      <c r="A27" s="4" t="n">
        <v>29</v>
      </c>
      <c r="B27" s="4" t="inlineStr">
        <is>
          <t>5.1-5.20</t>
        </is>
      </c>
      <c r="C27" s="4" t="inlineStr">
        <is>
          <t>丽源名妆</t>
        </is>
      </c>
      <c r="D27" s="4" t="inlineStr">
        <is>
          <t>6970356166832</t>
        </is>
      </c>
      <c r="E27" s="4" t="inlineStr">
        <is>
          <t>参半羟基磷灰石牙膏100g满陇桂雨味</t>
        </is>
      </c>
      <c r="F27" s="4" t="n">
        <v>27</v>
      </c>
      <c r="G27" s="4" t="n">
        <v>24.9</v>
      </c>
      <c r="H27" s="4" t="n">
        <v>1</v>
      </c>
      <c r="I27" s="4" t="inlineStr">
        <is>
          <t>羟基磷灰石修复牙膏</t>
        </is>
      </c>
      <c r="J27" s="4" t="n">
        <v>3</v>
      </c>
      <c r="K27" s="6">
        <f>IF(OR(F27="",J27=""),"",F27*J27)</f>
        <v/>
      </c>
    </row>
    <row r="28">
      <c r="A28" s="4" t="n">
        <v>30</v>
      </c>
      <c r="B28" s="4" t="inlineStr">
        <is>
          <t>5.1-5.20</t>
        </is>
      </c>
      <c r="C28" s="4" t="inlineStr">
        <is>
          <t>丽源名妆</t>
        </is>
      </c>
      <c r="D28" s="4" t="inlineStr">
        <is>
          <t>6970356162391</t>
        </is>
      </c>
      <c r="E28" s="4" t="inlineStr">
        <is>
          <t>参半沸石净齿牙膏140g清新苍兰</t>
        </is>
      </c>
      <c r="F28" s="4" t="n">
        <v>33</v>
      </c>
      <c r="G28" s="4" t="n">
        <v>29.9</v>
      </c>
      <c r="H28" s="4" t="n">
        <v>2</v>
      </c>
      <c r="I28" s="4" t="inlineStr">
        <is>
          <t>沸石净齿牙膏</t>
        </is>
      </c>
      <c r="J28" s="4" t="n">
        <v>3</v>
      </c>
      <c r="K28" s="6">
        <f>IF(OR(F28="",J28=""),"",F28*J28)</f>
        <v/>
      </c>
    </row>
    <row r="29">
      <c r="A29" s="4" t="n">
        <v>31</v>
      </c>
      <c r="B29" s="4" t="inlineStr">
        <is>
          <t>5.1-5.20</t>
        </is>
      </c>
      <c r="C29" s="4" t="inlineStr">
        <is>
          <t>丽源名妆</t>
        </is>
      </c>
      <c r="D29" s="4" t="inlineStr">
        <is>
          <t>6970356162810</t>
        </is>
      </c>
      <c r="E29" s="4" t="inlineStr">
        <is>
          <t>参半沸石美白牙膏140g海角雏菊</t>
        </is>
      </c>
      <c r="F29" s="4" t="n">
        <v>36</v>
      </c>
      <c r="G29" s="4" t="n">
        <v>29.9</v>
      </c>
      <c r="H29" s="4" t="n">
        <v>3</v>
      </c>
      <c r="I29" s="4" t="inlineStr">
        <is>
          <t>沸石美白牙膏</t>
        </is>
      </c>
      <c r="J29" s="4" t="n">
        <v>3</v>
      </c>
      <c r="K29" s="6">
        <f>IF(OR(F29="",J29=""),"",F29*J29)</f>
        <v/>
      </c>
    </row>
    <row r="30">
      <c r="A30" s="4" t="n">
        <v>32</v>
      </c>
      <c r="B30" s="4" t="inlineStr">
        <is>
          <t>5.1-5.20</t>
        </is>
      </c>
      <c r="C30" s="4" t="inlineStr">
        <is>
          <t>丽源名妆</t>
        </is>
      </c>
      <c r="D30" s="4" t="inlineStr">
        <is>
          <t>6970356164395</t>
        </is>
      </c>
      <c r="E30" s="4" t="inlineStr">
        <is>
          <t>参半极光白酵素1+1超值装牙膏(极光白160g+龙井100g)</t>
        </is>
      </c>
      <c r="F30" s="4" t="n">
        <v>46</v>
      </c>
      <c r="G30" s="4" t="n">
        <v>19.9</v>
      </c>
      <c r="H30" s="4" t="n">
        <v>5</v>
      </c>
      <c r="I30" s="4" t="inlineStr">
        <is>
          <t>光白酵素1+1超值装牙膏</t>
        </is>
      </c>
      <c r="J30" s="4" t="n">
        <v>3</v>
      </c>
      <c r="K30" s="6">
        <f>IF(OR(F30="",J30=""),"",F30*J30)</f>
        <v/>
      </c>
    </row>
    <row r="31">
      <c r="A31" s="4" t="n">
        <v>33</v>
      </c>
      <c r="B31" s="4" t="inlineStr">
        <is>
          <t>5.1-5.20</t>
        </is>
      </c>
      <c r="C31" s="4" t="inlineStr">
        <is>
          <t>丽源名妆</t>
        </is>
      </c>
      <c r="D31" s="4" t="inlineStr">
        <is>
          <t>6970356162636</t>
        </is>
      </c>
      <c r="E31" s="4" t="inlineStr">
        <is>
          <t>参半专研清新美白牙膏100g</t>
        </is>
      </c>
      <c r="F31" s="4" t="n">
        <v>48</v>
      </c>
      <c r="G31" s="4" t="n">
        <v>29.9</v>
      </c>
      <c r="H31" s="4" t="n">
        <v>8</v>
      </c>
      <c r="I31" s="4" t="inlineStr">
        <is>
          <t>专研清新美白牙膏</t>
        </is>
      </c>
      <c r="J31" s="4" t="n">
        <v>3</v>
      </c>
      <c r="K31" s="6">
        <f>IF(OR(F31="",J31=""),"",F31*J31)</f>
        <v/>
      </c>
    </row>
    <row r="32">
      <c r="A32" s="4" t="n">
        <v>34</v>
      </c>
      <c r="B32" s="4" t="inlineStr">
        <is>
          <t>5.1-5.20</t>
        </is>
      </c>
      <c r="C32" s="4" t="inlineStr">
        <is>
          <t>丽源名妆</t>
        </is>
      </c>
      <c r="D32" s="4" t="inlineStr">
        <is>
          <t>6970356169338</t>
        </is>
      </c>
      <c r="E32" s="4" t="inlineStr">
        <is>
          <t>参半可益白牙膏葡萄知梨120g</t>
        </is>
      </c>
      <c r="F32" s="4" t="n">
        <v>36</v>
      </c>
      <c r="G32" s="4" t="n">
        <v>29.9</v>
      </c>
      <c r="H32" s="4" t="n">
        <v>6</v>
      </c>
      <c r="I32" s="4" t="inlineStr">
        <is>
          <t>可益白牙膏葡萄知梨牙膏</t>
        </is>
      </c>
      <c r="J32" s="4" t="n">
        <v>3</v>
      </c>
      <c r="K32" s="6">
        <f>IF(OR(F32="",J32=""),"",F32*J32)</f>
        <v/>
      </c>
    </row>
    <row r="33">
      <c r="A33" s="4" t="n">
        <v>35</v>
      </c>
      <c r="B33" s="4" t="inlineStr">
        <is>
          <t>5.1-5.20</t>
        </is>
      </c>
      <c r="C33" s="4" t="inlineStr">
        <is>
          <t>丽源名妆</t>
        </is>
      </c>
      <c r="D33" s="4" t="inlineStr">
        <is>
          <t>6970356169321</t>
        </is>
      </c>
      <c r="E33" s="4" t="inlineStr">
        <is>
          <t>参半可益清牙膏葡见茶爽120g</t>
        </is>
      </c>
      <c r="F33" s="4" t="n">
        <v>28</v>
      </c>
      <c r="G33" s="4" t="n">
        <v>29.9</v>
      </c>
      <c r="H33" s="4" t="n">
        <v>7</v>
      </c>
      <c r="I33" s="4" t="inlineStr">
        <is>
          <t>可益清牙膏葡见茶爽牙膏</t>
        </is>
      </c>
      <c r="J33" s="4" t="n">
        <v>3</v>
      </c>
      <c r="K33" s="6">
        <f>IF(OR(F33="",J33=""),"",F33*J33)</f>
        <v/>
      </c>
    </row>
    <row r="34">
      <c r="A34" s="4" t="n">
        <v>38</v>
      </c>
      <c r="B34" s="4" t="inlineStr">
        <is>
          <t>5.1-5.20</t>
        </is>
      </c>
      <c r="C34" s="4" t="inlineStr">
        <is>
          <t>米菲精品</t>
        </is>
      </c>
      <c r="D34" s="4" t="inlineStr">
        <is>
          <t>6970356164388</t>
        </is>
      </c>
      <c r="E34" s="4" t="inlineStr">
        <is>
          <t>参半臻白牙膏1+2特享装</t>
        </is>
      </c>
      <c r="F34" s="4" t="n">
        <v>44</v>
      </c>
      <c r="G34" s="4" t="n">
        <v>29.9</v>
      </c>
      <c r="H34" s="4" t="n">
        <v>4</v>
      </c>
      <c r="I34" s="4" t="inlineStr">
        <is>
          <t>1+2臻白套盒</t>
        </is>
      </c>
      <c r="J34" s="4" t="n">
        <v>3</v>
      </c>
      <c r="K34" s="6">
        <f>IF(OR(F34="",J34=""),"",F34*J34)</f>
        <v/>
      </c>
    </row>
    <row r="35">
      <c r="A35" s="4" t="n">
        <v>39</v>
      </c>
      <c r="B35" s="4" t="inlineStr">
        <is>
          <t>5.1-5.20</t>
        </is>
      </c>
      <c r="C35" s="4" t="inlineStr">
        <is>
          <t>米菲精品</t>
        </is>
      </c>
      <c r="D35" s="4" t="inlineStr">
        <is>
          <t>6970356164296</t>
        </is>
      </c>
      <c r="E35" s="4" t="inlineStr">
        <is>
          <t>参半清新牙膏120g动感薄荷</t>
        </is>
      </c>
      <c r="F35" s="4" t="n">
        <v>36</v>
      </c>
      <c r="G35" s="4" t="n">
        <v>29.9</v>
      </c>
      <c r="H35" s="4" t="n">
        <v>10</v>
      </c>
      <c r="I35" s="4" t="inlineStr">
        <is>
          <t>SP-4清新牙膏</t>
        </is>
      </c>
      <c r="J35" s="4" t="n">
        <v>3</v>
      </c>
      <c r="K35" s="6">
        <f>IF(OR(F35="",J35=""),"",F35*J35)</f>
        <v/>
      </c>
    </row>
    <row r="36">
      <c r="A36" s="4" t="n">
        <v>40</v>
      </c>
      <c r="B36" s="4" t="inlineStr">
        <is>
          <t>5.1-5.20</t>
        </is>
      </c>
      <c r="C36" s="4" t="inlineStr">
        <is>
          <t>米菲精品</t>
        </is>
      </c>
      <c r="D36" s="4" t="inlineStr">
        <is>
          <t>6970356164289</t>
        </is>
      </c>
      <c r="E36" s="4" t="inlineStr">
        <is>
          <t>参半美白牙膏120g香域茉莉味</t>
        </is>
      </c>
      <c r="F36" s="4" t="n">
        <v>24</v>
      </c>
      <c r="G36" s="4" t="n">
        <v>29.9</v>
      </c>
      <c r="H36" s="4" t="n">
        <v>9</v>
      </c>
      <c r="I36" s="4" t="inlineStr">
        <is>
          <t>SP-4美白牙膏</t>
        </is>
      </c>
      <c r="J36" s="4" t="n">
        <v>3</v>
      </c>
      <c r="K36" s="6">
        <f>IF(OR(F36="",J36=""),"",F36*J36)</f>
        <v/>
      </c>
    </row>
    <row r="37">
      <c r="A37" s="4" t="n">
        <v>41</v>
      </c>
      <c r="B37" s="4" t="inlineStr">
        <is>
          <t>5.1-5.20</t>
        </is>
      </c>
      <c r="C37" s="4" t="inlineStr">
        <is>
          <t>米菲精品</t>
        </is>
      </c>
      <c r="D37" s="4" t="inlineStr">
        <is>
          <t>6970356166832</t>
        </is>
      </c>
      <c r="E37" s="4" t="inlineStr">
        <is>
          <t>参半羟基磷灰石牙膏100g满陇桂雨味</t>
        </is>
      </c>
      <c r="F37" s="4" t="n">
        <v>28</v>
      </c>
      <c r="G37" s="4" t="n">
        <v>24.9</v>
      </c>
      <c r="H37" s="4" t="n">
        <v>1</v>
      </c>
      <c r="I37" s="4" t="inlineStr">
        <is>
          <t>羟基磷灰石修复牙膏</t>
        </is>
      </c>
      <c r="J37" s="4" t="n">
        <v>3</v>
      </c>
      <c r="K37" s="6">
        <f>IF(OR(F37="",J37=""),"",F37*J37)</f>
        <v/>
      </c>
    </row>
    <row r="38">
      <c r="A38" s="4" t="n">
        <v>42</v>
      </c>
      <c r="B38" s="4" t="inlineStr">
        <is>
          <t>5.1-5.20</t>
        </is>
      </c>
      <c r="C38" s="4" t="inlineStr">
        <is>
          <t>米菲精品</t>
        </is>
      </c>
      <c r="D38" s="4" t="inlineStr">
        <is>
          <t>6970356162391</t>
        </is>
      </c>
      <c r="E38" s="4" t="inlineStr">
        <is>
          <t>参半沸石净齿牙膏140g清新苍兰</t>
        </is>
      </c>
      <c r="F38" s="4" t="n">
        <v>32</v>
      </c>
      <c r="G38" s="4" t="n">
        <v>29.9</v>
      </c>
      <c r="H38" s="4" t="n">
        <v>2</v>
      </c>
      <c r="I38" s="4" t="inlineStr">
        <is>
          <t>沸石净齿牙膏</t>
        </is>
      </c>
      <c r="J38" s="4" t="n">
        <v>3</v>
      </c>
      <c r="K38" s="6">
        <f>IF(OR(F38="",J38=""),"",F38*J38)</f>
        <v/>
      </c>
    </row>
    <row r="39">
      <c r="A39" s="4" t="n">
        <v>43</v>
      </c>
      <c r="B39" s="4" t="inlineStr">
        <is>
          <t>5.1-5.20</t>
        </is>
      </c>
      <c r="C39" s="4" t="inlineStr">
        <is>
          <t>米菲精品</t>
        </is>
      </c>
      <c r="D39" s="4" t="inlineStr">
        <is>
          <t>6970356162810</t>
        </is>
      </c>
      <c r="E39" s="4" t="inlineStr">
        <is>
          <t>参半沸石美白牙膏140g海角雏菊</t>
        </is>
      </c>
      <c r="F39" s="4" t="n">
        <v>28</v>
      </c>
      <c r="G39" s="4" t="n">
        <v>29.9</v>
      </c>
      <c r="H39" s="4" t="n">
        <v>3</v>
      </c>
      <c r="I39" s="4" t="inlineStr">
        <is>
          <t>沸石美白牙膏</t>
        </is>
      </c>
      <c r="J39" s="4" t="n">
        <v>3</v>
      </c>
      <c r="K39" s="6">
        <f>IF(OR(F39="",J39=""),"",F39*J39)</f>
        <v/>
      </c>
    </row>
    <row r="40">
      <c r="A40" s="4" t="n">
        <v>44</v>
      </c>
      <c r="B40" s="4" t="inlineStr">
        <is>
          <t>5.1-5.20</t>
        </is>
      </c>
      <c r="C40" s="4" t="inlineStr">
        <is>
          <t>米菲精品</t>
        </is>
      </c>
      <c r="D40" s="4" t="inlineStr">
        <is>
          <t>6970356164395</t>
        </is>
      </c>
      <c r="E40" s="4" t="inlineStr">
        <is>
          <t>参半极光白酵素1+1超值装牙膏(极光白160g+龙井100g)</t>
        </is>
      </c>
      <c r="F40" s="4" t="n">
        <v>24</v>
      </c>
      <c r="G40" s="4" t="n">
        <v>19.9</v>
      </c>
      <c r="H40" s="4" t="n">
        <v>5</v>
      </c>
      <c r="I40" s="4" t="inlineStr">
        <is>
          <t>光白酵素1+1超值装牙膏</t>
        </is>
      </c>
      <c r="J40" s="4" t="n">
        <v>3</v>
      </c>
      <c r="K40" s="6">
        <f>IF(OR(F40="",J40=""),"",F40*J40)</f>
        <v/>
      </c>
    </row>
    <row r="41">
      <c r="A41" s="4" t="n">
        <v>45</v>
      </c>
      <c r="B41" s="4" t="inlineStr">
        <is>
          <t>5.1-5.20</t>
        </is>
      </c>
      <c r="C41" s="4" t="inlineStr">
        <is>
          <t>米菲精品</t>
        </is>
      </c>
      <c r="D41" s="4" t="inlineStr">
        <is>
          <t>6970356162636</t>
        </is>
      </c>
      <c r="E41" s="4" t="inlineStr">
        <is>
          <t>参半专研清新美白牙膏100g</t>
        </is>
      </c>
      <c r="F41" s="4" t="n">
        <v>26</v>
      </c>
      <c r="G41" s="4" t="n">
        <v>29.9</v>
      </c>
      <c r="H41" s="4" t="n">
        <v>8</v>
      </c>
      <c r="I41" s="4" t="inlineStr">
        <is>
          <t>专研清新美白牙膏</t>
        </is>
      </c>
      <c r="J41" s="4" t="n">
        <v>3</v>
      </c>
      <c r="K41" s="6">
        <f>IF(OR(F41="",J41=""),"",F41*J41)</f>
        <v/>
      </c>
    </row>
    <row r="42">
      <c r="A42" s="4" t="n">
        <v>46</v>
      </c>
      <c r="B42" s="4" t="inlineStr">
        <is>
          <t>5.1-5.20</t>
        </is>
      </c>
      <c r="C42" s="4" t="inlineStr">
        <is>
          <t>米菲精品</t>
        </is>
      </c>
      <c r="D42" s="4" t="inlineStr">
        <is>
          <t>6970356169338</t>
        </is>
      </c>
      <c r="E42" s="4" t="inlineStr">
        <is>
          <t>参半可益白牙膏葡萄知梨120g</t>
        </is>
      </c>
      <c r="F42" s="4" t="n">
        <v>48</v>
      </c>
      <c r="G42" s="4" t="n">
        <v>29.9</v>
      </c>
      <c r="H42" s="4" t="n">
        <v>6</v>
      </c>
      <c r="I42" s="4" t="inlineStr">
        <is>
          <t>可益白牙膏葡萄知梨牙膏</t>
        </is>
      </c>
      <c r="J42" s="4" t="n">
        <v>3</v>
      </c>
      <c r="K42" s="6">
        <f>IF(OR(F42="",J42=""),"",F42*J42)</f>
        <v/>
      </c>
    </row>
    <row r="43">
      <c r="A43" s="4" t="n">
        <v>47</v>
      </c>
      <c r="B43" s="4" t="inlineStr">
        <is>
          <t>5.1-5.20</t>
        </is>
      </c>
      <c r="C43" s="4" t="inlineStr">
        <is>
          <t>米菲精品</t>
        </is>
      </c>
      <c r="D43" s="4" t="inlineStr">
        <is>
          <t>6970356169321</t>
        </is>
      </c>
      <c r="E43" s="4" t="inlineStr">
        <is>
          <t>参半可益清牙膏葡见茶爽120g</t>
        </is>
      </c>
      <c r="F43" s="4" t="n">
        <v>48</v>
      </c>
      <c r="G43" s="4" t="n">
        <v>29.9</v>
      </c>
      <c r="H43" s="4" t="n">
        <v>7</v>
      </c>
      <c r="I43" s="4" t="inlineStr">
        <is>
          <t>可益清牙膏葡见茶爽牙膏</t>
        </is>
      </c>
      <c r="J43" s="4" t="n">
        <v>3</v>
      </c>
      <c r="K43" s="6">
        <f>IF(OR(F43="",J43=""),"",F43*J43)</f>
        <v/>
      </c>
    </row>
    <row r="44">
      <c r="A44" s="4" t="n">
        <v>50</v>
      </c>
      <c r="B44" s="4" t="inlineStr">
        <is>
          <t>5.1-5.20</t>
        </is>
      </c>
      <c r="C44" s="4" t="inlineStr">
        <is>
          <t>桐贝美妆</t>
        </is>
      </c>
      <c r="D44" s="4" t="inlineStr">
        <is>
          <t>6970356164388</t>
        </is>
      </c>
      <c r="E44" s="4" t="inlineStr">
        <is>
          <t>参半臻白牙膏1+2特享装</t>
        </is>
      </c>
      <c r="F44" s="4" t="n">
        <v>36</v>
      </c>
      <c r="G44" s="4" t="n">
        <v>29.9</v>
      </c>
      <c r="H44" s="4" t="n">
        <v>4</v>
      </c>
      <c r="I44" s="4" t="inlineStr">
        <is>
          <t>1+2臻白套盒</t>
        </is>
      </c>
      <c r="J44" s="4" t="n">
        <v>3</v>
      </c>
      <c r="K44" s="6">
        <f>IF(OR(F44="",J44=""),"",F44*J44)</f>
        <v/>
      </c>
    </row>
    <row r="45">
      <c r="A45" s="4" t="n">
        <v>51</v>
      </c>
      <c r="B45" s="4" t="inlineStr">
        <is>
          <t>5.1-5.20</t>
        </is>
      </c>
      <c r="C45" s="4" t="inlineStr">
        <is>
          <t>桐贝美妆</t>
        </is>
      </c>
      <c r="D45" s="4" t="inlineStr">
        <is>
          <t>6970356164296</t>
        </is>
      </c>
      <c r="E45" s="4" t="inlineStr">
        <is>
          <t>参半清新牙膏120g动感薄荷</t>
        </is>
      </c>
      <c r="F45" s="4" t="n">
        <v>18</v>
      </c>
      <c r="G45" s="4" t="n">
        <v>29.9</v>
      </c>
      <c r="H45" s="4" t="n">
        <v>10</v>
      </c>
      <c r="I45" s="4" t="inlineStr">
        <is>
          <t>SP-4清新牙膏</t>
        </is>
      </c>
      <c r="J45" s="4" t="n">
        <v>3</v>
      </c>
      <c r="K45" s="6">
        <f>IF(OR(F45="",J45=""),"",F45*J45)</f>
        <v/>
      </c>
    </row>
    <row r="46">
      <c r="A46" s="4" t="n">
        <v>52</v>
      </c>
      <c r="B46" s="4" t="inlineStr">
        <is>
          <t>5.1-5.20</t>
        </is>
      </c>
      <c r="C46" s="4" t="inlineStr">
        <is>
          <t>桐贝美妆</t>
        </is>
      </c>
      <c r="D46" s="4" t="inlineStr">
        <is>
          <t>6970356164289</t>
        </is>
      </c>
      <c r="E46" s="4" t="inlineStr">
        <is>
          <t>参半美白牙膏120g香域茉莉味</t>
        </is>
      </c>
      <c r="F46" s="4" t="n">
        <v>18</v>
      </c>
      <c r="G46" s="4" t="n">
        <v>29.9</v>
      </c>
      <c r="H46" s="4" t="n">
        <v>9</v>
      </c>
      <c r="I46" s="4" t="inlineStr">
        <is>
          <t>SP-4美白牙膏</t>
        </is>
      </c>
      <c r="J46" s="4" t="n">
        <v>3</v>
      </c>
      <c r="K46" s="6">
        <f>IF(OR(F46="",J46=""),"",F46*J46)</f>
        <v/>
      </c>
    </row>
    <row r="47">
      <c r="A47" s="4" t="n">
        <v>53</v>
      </c>
      <c r="B47" s="4" t="inlineStr">
        <is>
          <t>5.1-5.20</t>
        </is>
      </c>
      <c r="C47" s="4" t="inlineStr">
        <is>
          <t>桐贝美妆</t>
        </is>
      </c>
      <c r="D47" s="4" t="inlineStr">
        <is>
          <t>6970356166832</t>
        </is>
      </c>
      <c r="E47" s="4" t="inlineStr">
        <is>
          <t>参半羟基磷灰石牙膏100g满陇桂雨味</t>
        </is>
      </c>
      <c r="F47" s="4" t="n">
        <v>48</v>
      </c>
      <c r="G47" s="4" t="n">
        <v>24.9</v>
      </c>
      <c r="H47" s="4" t="n">
        <v>1</v>
      </c>
      <c r="I47" s="4" t="inlineStr">
        <is>
          <t>羟基磷灰石修复牙膏</t>
        </is>
      </c>
      <c r="J47" s="4" t="n">
        <v>3</v>
      </c>
      <c r="K47" s="6">
        <f>IF(OR(F47="",J47=""),"",F47*J47)</f>
        <v/>
      </c>
    </row>
    <row r="48">
      <c r="A48" s="4" t="n">
        <v>54</v>
      </c>
      <c r="B48" s="4" t="inlineStr">
        <is>
          <t>5.1-5.20</t>
        </is>
      </c>
      <c r="C48" s="4" t="inlineStr">
        <is>
          <t>桐贝美妆</t>
        </is>
      </c>
      <c r="D48" s="4" t="inlineStr">
        <is>
          <t>6970356162391</t>
        </is>
      </c>
      <c r="E48" s="4" t="inlineStr">
        <is>
          <t>参半沸石净齿牙膏140g清新苍兰</t>
        </is>
      </c>
      <c r="F48" s="4" t="n">
        <v>48</v>
      </c>
      <c r="G48" s="4" t="n">
        <v>29.9</v>
      </c>
      <c r="H48" s="4" t="n">
        <v>2</v>
      </c>
      <c r="I48" s="4" t="inlineStr">
        <is>
          <t>沸石净齿牙膏</t>
        </is>
      </c>
      <c r="J48" s="4" t="n">
        <v>3</v>
      </c>
      <c r="K48" s="6">
        <f>IF(OR(F48="",J48=""),"",F48*J48)</f>
        <v/>
      </c>
    </row>
    <row r="49">
      <c r="A49" s="4" t="n">
        <v>55</v>
      </c>
      <c r="B49" s="4" t="inlineStr">
        <is>
          <t>5.1-5.20</t>
        </is>
      </c>
      <c r="C49" s="4" t="inlineStr">
        <is>
          <t>桐贝美妆</t>
        </is>
      </c>
      <c r="D49" s="4" t="inlineStr">
        <is>
          <t>6970356162810</t>
        </is>
      </c>
      <c r="E49" s="4" t="inlineStr">
        <is>
          <t>参半沸石美白牙膏140g海角雏菊</t>
        </is>
      </c>
      <c r="F49" s="4" t="n">
        <v>47</v>
      </c>
      <c r="G49" s="4" t="n">
        <v>29.9</v>
      </c>
      <c r="H49" s="4" t="n">
        <v>3</v>
      </c>
      <c r="I49" s="4" t="inlineStr">
        <is>
          <t>沸石美白牙膏</t>
        </is>
      </c>
      <c r="J49" s="4" t="n">
        <v>3</v>
      </c>
      <c r="K49" s="6">
        <f>IF(OR(F49="",J49=""),"",F49*J49)</f>
        <v/>
      </c>
    </row>
    <row r="50">
      <c r="A50" s="4" t="n">
        <v>56</v>
      </c>
      <c r="B50" s="4" t="inlineStr">
        <is>
          <t>5.1-5.20</t>
        </is>
      </c>
      <c r="C50" s="4" t="inlineStr">
        <is>
          <t>桐贝美妆</t>
        </is>
      </c>
      <c r="D50" s="4" t="inlineStr">
        <is>
          <t>6970356164395</t>
        </is>
      </c>
      <c r="E50" s="4" t="inlineStr">
        <is>
          <t>参半极光白酵素1+1超值装牙膏(极光白160g+龙井100g)</t>
        </is>
      </c>
      <c r="F50" s="4" t="n">
        <v>25</v>
      </c>
      <c r="G50" s="4" t="n">
        <v>19.9</v>
      </c>
      <c r="H50" s="4" t="n">
        <v>5</v>
      </c>
      <c r="I50" s="4" t="inlineStr">
        <is>
          <t>光白酵素1+1超值装牙膏</t>
        </is>
      </c>
      <c r="J50" s="4" t="n">
        <v>3</v>
      </c>
      <c r="K50" s="6">
        <f>IF(OR(F50="",J50=""),"",F50*J50)</f>
        <v/>
      </c>
    </row>
    <row r="51">
      <c r="A51" s="4" t="n">
        <v>57</v>
      </c>
      <c r="B51" s="4" t="inlineStr">
        <is>
          <t>5.1-5.20</t>
        </is>
      </c>
      <c r="C51" s="4" t="inlineStr">
        <is>
          <t>桐贝美妆</t>
        </is>
      </c>
      <c r="D51" s="4" t="inlineStr">
        <is>
          <t>6970356162636</t>
        </is>
      </c>
      <c r="E51" s="4" t="inlineStr">
        <is>
          <t>参半专研清新美白牙膏100g</t>
        </is>
      </c>
      <c r="F51" s="4" t="n">
        <v>60</v>
      </c>
      <c r="G51" s="4" t="n">
        <v>29.9</v>
      </c>
      <c r="H51" s="4" t="n">
        <v>8</v>
      </c>
      <c r="I51" s="4" t="inlineStr">
        <is>
          <t>专研清新美白牙膏</t>
        </is>
      </c>
      <c r="J51" s="4" t="n">
        <v>3</v>
      </c>
      <c r="K51" s="6">
        <f>IF(OR(F51="",J51=""),"",F51*J51)</f>
        <v/>
      </c>
    </row>
    <row r="52">
      <c r="A52" s="4" t="n">
        <v>58</v>
      </c>
      <c r="B52" s="4" t="inlineStr">
        <is>
          <t>5.1-5.20</t>
        </is>
      </c>
      <c r="C52" s="4" t="inlineStr">
        <is>
          <t>桐贝美妆</t>
        </is>
      </c>
      <c r="D52" s="4" t="inlineStr">
        <is>
          <t>6970356169338</t>
        </is>
      </c>
      <c r="E52" s="4" t="inlineStr">
        <is>
          <t>参半可益白牙膏葡萄知梨120g</t>
        </is>
      </c>
      <c r="F52" s="4" t="n">
        <v>36</v>
      </c>
      <c r="G52" s="4" t="n">
        <v>29.9</v>
      </c>
      <c r="H52" s="4" t="n">
        <v>6</v>
      </c>
      <c r="I52" s="4" t="inlineStr">
        <is>
          <t>可益白牙膏葡萄知梨牙膏</t>
        </is>
      </c>
      <c r="J52" s="4" t="n">
        <v>3</v>
      </c>
      <c r="K52" s="6">
        <f>IF(OR(F52="",J52=""),"",F52*J52)</f>
        <v/>
      </c>
    </row>
    <row r="53">
      <c r="A53" s="4" t="n">
        <v>59</v>
      </c>
      <c r="B53" s="4" t="inlineStr">
        <is>
          <t>5.1-5.20</t>
        </is>
      </c>
      <c r="C53" s="4" t="inlineStr">
        <is>
          <t>桐贝美妆</t>
        </is>
      </c>
      <c r="D53" s="4" t="inlineStr">
        <is>
          <t>6970356169321</t>
        </is>
      </c>
      <c r="E53" s="4" t="inlineStr">
        <is>
          <t>参半可益清牙膏葡见茶爽120g</t>
        </is>
      </c>
      <c r="F53" s="4" t="n">
        <v>29</v>
      </c>
      <c r="G53" s="4" t="n">
        <v>29.9</v>
      </c>
      <c r="H53" s="4" t="n">
        <v>7</v>
      </c>
      <c r="I53" s="4" t="inlineStr">
        <is>
          <t>可益清牙膏葡见茶爽牙膏</t>
        </is>
      </c>
      <c r="J53" s="4" t="n">
        <v>3</v>
      </c>
      <c r="K53" s="6">
        <f>IF(OR(F53="",J53=""),"",F53*J53)</f>
        <v/>
      </c>
    </row>
    <row r="54">
      <c r="A54" s="4" t="n">
        <v>62</v>
      </c>
      <c r="B54" s="4" t="inlineStr">
        <is>
          <t>5.1-5.20</t>
        </is>
      </c>
      <c r="C54" s="4" t="inlineStr">
        <is>
          <t>时尚密码</t>
        </is>
      </c>
      <c r="D54" s="4" t="inlineStr">
        <is>
          <t>6970356164388</t>
        </is>
      </c>
      <c r="E54" s="4" t="inlineStr">
        <is>
          <t>参半臻白牙膏1+2特享装</t>
        </is>
      </c>
      <c r="F54" s="4" t="n">
        <v>24</v>
      </c>
      <c r="G54" s="4" t="n">
        <v>29.9</v>
      </c>
      <c r="H54" s="4" t="n">
        <v>4</v>
      </c>
      <c r="I54" s="4" t="inlineStr">
        <is>
          <t>1+2臻白套盒</t>
        </is>
      </c>
      <c r="J54" s="4" t="n">
        <v>3</v>
      </c>
      <c r="K54" s="6">
        <f>IF(OR(F54="",J54=""),"",F54*J54)</f>
        <v/>
      </c>
    </row>
    <row r="55">
      <c r="A55" s="4" t="n">
        <v>63</v>
      </c>
      <c r="B55" s="4" t="inlineStr">
        <is>
          <t>5.1-5.20</t>
        </is>
      </c>
      <c r="C55" s="4" t="inlineStr">
        <is>
          <t>时尚密码</t>
        </is>
      </c>
      <c r="D55" s="4" t="inlineStr">
        <is>
          <t>6970356164296</t>
        </is>
      </c>
      <c r="E55" s="4" t="inlineStr">
        <is>
          <t>参半清新牙膏120g动感薄荷</t>
        </is>
      </c>
      <c r="F55" s="4" t="n">
        <v>24</v>
      </c>
      <c r="G55" s="4" t="n">
        <v>29.9</v>
      </c>
      <c r="H55" s="4" t="n">
        <v>10</v>
      </c>
      <c r="I55" s="4" t="inlineStr">
        <is>
          <t>SP-4清新牙膏</t>
        </is>
      </c>
      <c r="J55" s="4" t="n">
        <v>3</v>
      </c>
      <c r="K55" s="6">
        <f>IF(OR(F55="",J55=""),"",F55*J55)</f>
        <v/>
      </c>
    </row>
    <row r="56">
      <c r="A56" s="4" t="n">
        <v>64</v>
      </c>
      <c r="B56" s="4" t="inlineStr">
        <is>
          <t>5.1-5.20</t>
        </is>
      </c>
      <c r="C56" s="4" t="inlineStr">
        <is>
          <t>时尚密码</t>
        </is>
      </c>
      <c r="D56" s="4" t="inlineStr">
        <is>
          <t>6970356164289</t>
        </is>
      </c>
      <c r="E56" s="4" t="inlineStr">
        <is>
          <t>参半美白牙膏120g香域茉莉味</t>
        </is>
      </c>
      <c r="F56" s="4" t="n">
        <v>28</v>
      </c>
      <c r="G56" s="4" t="n">
        <v>29.9</v>
      </c>
      <c r="H56" s="4" t="n">
        <v>9</v>
      </c>
      <c r="I56" s="4" t="inlineStr">
        <is>
          <t>SP-4美白牙膏</t>
        </is>
      </c>
      <c r="J56" s="4" t="n">
        <v>3</v>
      </c>
      <c r="K56" s="6">
        <f>IF(OR(F56="",J56=""),"",F56*J56)</f>
        <v/>
      </c>
    </row>
    <row r="57">
      <c r="A57" s="4" t="n">
        <v>65</v>
      </c>
      <c r="B57" s="4" t="inlineStr">
        <is>
          <t>5.1-5.20</t>
        </is>
      </c>
      <c r="C57" s="4" t="inlineStr">
        <is>
          <t>时尚密码</t>
        </is>
      </c>
      <c r="D57" s="4" t="inlineStr">
        <is>
          <t>6970356166832</t>
        </is>
      </c>
      <c r="E57" s="4" t="inlineStr">
        <is>
          <t>参半羟基磷灰石牙膏100g满陇桂雨味</t>
        </is>
      </c>
      <c r="F57" s="4" t="n">
        <v>37</v>
      </c>
      <c r="G57" s="4" t="n">
        <v>24.9</v>
      </c>
      <c r="H57" s="4" t="n">
        <v>1</v>
      </c>
      <c r="I57" s="4" t="inlineStr">
        <is>
          <t>羟基磷灰石修复牙膏</t>
        </is>
      </c>
      <c r="J57" s="4" t="n">
        <v>3</v>
      </c>
      <c r="K57" s="6">
        <f>IF(OR(F57="",J57=""),"",F57*J57)</f>
        <v/>
      </c>
    </row>
    <row r="58">
      <c r="A58" s="4" t="n">
        <v>66</v>
      </c>
      <c r="B58" s="4" t="inlineStr">
        <is>
          <t>5.1-5.20</t>
        </is>
      </c>
      <c r="C58" s="4" t="inlineStr">
        <is>
          <t>时尚密码</t>
        </is>
      </c>
      <c r="D58" s="4" t="inlineStr">
        <is>
          <t>6970356162391</t>
        </is>
      </c>
      <c r="E58" s="4" t="inlineStr">
        <is>
          <t>参半沸石净齿牙膏140g清新苍兰</t>
        </is>
      </c>
      <c r="F58" s="4" t="n">
        <v>49</v>
      </c>
      <c r="G58" s="4" t="n">
        <v>29.9</v>
      </c>
      <c r="H58" s="4" t="n">
        <v>2</v>
      </c>
      <c r="I58" s="4" t="inlineStr">
        <is>
          <t>沸石净齿牙膏</t>
        </is>
      </c>
      <c r="J58" s="4" t="n">
        <v>3</v>
      </c>
      <c r="K58" s="6">
        <f>IF(OR(F58="",J58=""),"",F58*J58)</f>
        <v/>
      </c>
    </row>
    <row r="59">
      <c r="A59" s="4" t="n">
        <v>67</v>
      </c>
      <c r="B59" s="4" t="inlineStr">
        <is>
          <t>5.1-5.20</t>
        </is>
      </c>
      <c r="C59" s="4" t="inlineStr">
        <is>
          <t>时尚密码</t>
        </is>
      </c>
      <c r="D59" s="4" t="inlineStr">
        <is>
          <t>6970356162810</t>
        </is>
      </c>
      <c r="E59" s="4" t="inlineStr">
        <is>
          <t>参半沸石美白牙膏140g海角雏菊</t>
        </is>
      </c>
      <c r="F59" s="4" t="n">
        <v>33</v>
      </c>
      <c r="G59" s="4" t="n">
        <v>29.9</v>
      </c>
      <c r="H59" s="4" t="n">
        <v>3</v>
      </c>
      <c r="I59" s="4" t="inlineStr">
        <is>
          <t>沸石美白牙膏</t>
        </is>
      </c>
      <c r="J59" s="4" t="n">
        <v>3</v>
      </c>
      <c r="K59" s="6">
        <f>IF(OR(F59="",J59=""),"",F59*J59)</f>
        <v/>
      </c>
    </row>
    <row r="60">
      <c r="A60" s="4" t="n">
        <v>68</v>
      </c>
      <c r="B60" s="4" t="inlineStr">
        <is>
          <t>5.1-5.20</t>
        </is>
      </c>
      <c r="C60" s="4" t="inlineStr">
        <is>
          <t>时尚密码</t>
        </is>
      </c>
      <c r="D60" s="4" t="inlineStr">
        <is>
          <t>6970356164395</t>
        </is>
      </c>
      <c r="E60" s="4" t="inlineStr">
        <is>
          <t>参半极光白酵素1+1超值装牙膏(极光白160g+龙井100g)</t>
        </is>
      </c>
      <c r="F60" s="4" t="n">
        <v>36</v>
      </c>
      <c r="G60" s="4" t="n">
        <v>19.9</v>
      </c>
      <c r="H60" s="4" t="n">
        <v>5</v>
      </c>
      <c r="I60" s="4" t="inlineStr">
        <is>
          <t>光白酵素1+1超值装牙膏</t>
        </is>
      </c>
      <c r="J60" s="4" t="n">
        <v>3</v>
      </c>
      <c r="K60" s="6">
        <f>IF(OR(F60="",J60=""),"",F60*J60)</f>
        <v/>
      </c>
    </row>
    <row r="61">
      <c r="A61" s="4" t="n">
        <v>69</v>
      </c>
      <c r="B61" s="4" t="inlineStr">
        <is>
          <t>5.1-5.20</t>
        </is>
      </c>
      <c r="C61" s="4" t="inlineStr">
        <is>
          <t>时尚密码</t>
        </is>
      </c>
      <c r="D61" s="4" t="inlineStr">
        <is>
          <t>6970356162636</t>
        </is>
      </c>
      <c r="E61" s="4" t="inlineStr">
        <is>
          <t>参半专研清新美白牙膏100g</t>
        </is>
      </c>
      <c r="F61" s="4" t="n">
        <v>54</v>
      </c>
      <c r="G61" s="4" t="n">
        <v>29.9</v>
      </c>
      <c r="H61" s="4" t="n">
        <v>8</v>
      </c>
      <c r="I61" s="4" t="inlineStr">
        <is>
          <t>专研清新美白牙膏</t>
        </is>
      </c>
      <c r="J61" s="4" t="n">
        <v>3</v>
      </c>
      <c r="K61" s="6">
        <f>IF(OR(F61="",J61=""),"",F61*J61)</f>
        <v/>
      </c>
    </row>
    <row r="62">
      <c r="A62" s="4" t="n">
        <v>70</v>
      </c>
      <c r="B62" s="4" t="inlineStr">
        <is>
          <t>5.1-5.20</t>
        </is>
      </c>
      <c r="C62" s="4" t="inlineStr">
        <is>
          <t>时尚密码</t>
        </is>
      </c>
      <c r="D62" s="4" t="inlineStr">
        <is>
          <t>6970356169338</t>
        </is>
      </c>
      <c r="E62" s="4" t="inlineStr">
        <is>
          <t>参半可益白牙膏葡萄知梨120g</t>
        </is>
      </c>
      <c r="F62" s="4" t="n">
        <v>36</v>
      </c>
      <c r="G62" s="4" t="n">
        <v>29.9</v>
      </c>
      <c r="H62" s="4" t="n">
        <v>6</v>
      </c>
      <c r="I62" s="4" t="inlineStr">
        <is>
          <t>可益白牙膏葡萄知梨牙膏</t>
        </is>
      </c>
      <c r="J62" s="4" t="n">
        <v>3</v>
      </c>
      <c r="K62" s="6">
        <f>IF(OR(F62="",J62=""),"",F62*J62)</f>
        <v/>
      </c>
    </row>
    <row r="63">
      <c r="A63" s="4" t="n">
        <v>71</v>
      </c>
      <c r="B63" s="4" t="inlineStr">
        <is>
          <t>5.1-5.20</t>
        </is>
      </c>
      <c r="C63" s="4" t="inlineStr">
        <is>
          <t>时尚密码</t>
        </is>
      </c>
      <c r="D63" s="4" t="inlineStr">
        <is>
          <t>6970356169321</t>
        </is>
      </c>
      <c r="E63" s="4" t="inlineStr">
        <is>
          <t>参半可益清牙膏葡见茶爽120g</t>
        </is>
      </c>
      <c r="F63" s="4" t="n">
        <v>44</v>
      </c>
      <c r="G63" s="4" t="n">
        <v>29.9</v>
      </c>
      <c r="H63" s="4" t="n">
        <v>7</v>
      </c>
      <c r="I63" s="4" t="inlineStr">
        <is>
          <t>可益清牙膏葡见茶爽牙膏</t>
        </is>
      </c>
      <c r="J63" s="4" t="n">
        <v>3</v>
      </c>
      <c r="K63" s="6">
        <f>IF(OR(F63="",J63=""),"",F63*J63)</f>
        <v/>
      </c>
    </row>
    <row r="64">
      <c r="A64" s="4" t="n">
        <v>74</v>
      </c>
      <c r="B64" s="4" t="inlineStr">
        <is>
          <t>5.1-5.20</t>
        </is>
      </c>
      <c r="C64" s="4" t="inlineStr">
        <is>
          <t>大物集美</t>
        </is>
      </c>
      <c r="D64" s="4" t="inlineStr">
        <is>
          <t>6970356164388</t>
        </is>
      </c>
      <c r="E64" s="4" t="inlineStr">
        <is>
          <t>参半臻白牙膏1+2特享装</t>
        </is>
      </c>
      <c r="F64" s="4" t="n">
        <v>18</v>
      </c>
      <c r="G64" s="4" t="n">
        <v>29.9</v>
      </c>
      <c r="H64" s="4" t="n">
        <v>4</v>
      </c>
      <c r="I64" s="4" t="inlineStr">
        <is>
          <t>1+2臻白套盒</t>
        </is>
      </c>
      <c r="J64" s="4" t="n">
        <v>3</v>
      </c>
      <c r="K64" s="6">
        <f>IF(OR(F64="",J64=""),"",F64*J64)</f>
        <v/>
      </c>
    </row>
    <row r="65">
      <c r="A65" s="4" t="n">
        <v>75</v>
      </c>
      <c r="B65" s="4" t="inlineStr">
        <is>
          <t>5.1-5.20</t>
        </is>
      </c>
      <c r="C65" s="4" t="inlineStr">
        <is>
          <t>大物集美</t>
        </is>
      </c>
      <c r="D65" s="4" t="inlineStr">
        <is>
          <t>6970356164296</t>
        </is>
      </c>
      <c r="E65" s="4" t="inlineStr">
        <is>
          <t>参半清新牙膏120g动感薄荷</t>
        </is>
      </c>
      <c r="F65" s="4" t="n">
        <v>48</v>
      </c>
      <c r="G65" s="4" t="n">
        <v>29.9</v>
      </c>
      <c r="H65" s="4" t="n">
        <v>10</v>
      </c>
      <c r="I65" s="4" t="inlineStr">
        <is>
          <t>SP-4清新牙膏</t>
        </is>
      </c>
      <c r="J65" s="4" t="n">
        <v>3</v>
      </c>
      <c r="K65" s="6">
        <f>IF(OR(F65="",J65=""),"",F65*J65)</f>
        <v/>
      </c>
    </row>
    <row r="66">
      <c r="A66" s="4" t="n">
        <v>76</v>
      </c>
      <c r="B66" s="4" t="inlineStr">
        <is>
          <t>5.1-5.20</t>
        </is>
      </c>
      <c r="C66" s="4" t="inlineStr">
        <is>
          <t>大物集美</t>
        </is>
      </c>
      <c r="D66" s="4" t="inlineStr">
        <is>
          <t>6970356164289</t>
        </is>
      </c>
      <c r="E66" s="4" t="inlineStr">
        <is>
          <t>参半美白牙膏120g香域茉莉味</t>
        </is>
      </c>
      <c r="F66" s="4" t="n">
        <v>36</v>
      </c>
      <c r="G66" s="4" t="n">
        <v>29.9</v>
      </c>
      <c r="H66" s="4" t="n">
        <v>9</v>
      </c>
      <c r="I66" s="4" t="inlineStr">
        <is>
          <t>SP-4美白牙膏</t>
        </is>
      </c>
      <c r="J66" s="4" t="n">
        <v>3</v>
      </c>
      <c r="K66" s="6">
        <f>IF(OR(F66="",J66=""),"",F66*J66)</f>
        <v/>
      </c>
    </row>
    <row r="67">
      <c r="A67" s="4" t="n">
        <v>77</v>
      </c>
      <c r="B67" s="4" t="inlineStr">
        <is>
          <t>5.1-5.20</t>
        </is>
      </c>
      <c r="C67" s="4" t="inlineStr">
        <is>
          <t>大物集美</t>
        </is>
      </c>
      <c r="D67" s="4" t="inlineStr">
        <is>
          <t>6970356166832</t>
        </is>
      </c>
      <c r="E67" s="4" t="inlineStr">
        <is>
          <t>参半羟基磷灰石牙膏100g满陇桂雨味</t>
        </is>
      </c>
      <c r="F67" s="4" t="n">
        <v>28</v>
      </c>
      <c r="G67" s="4" t="n">
        <v>24.9</v>
      </c>
      <c r="H67" s="4" t="n">
        <v>1</v>
      </c>
      <c r="I67" s="4" t="inlineStr">
        <is>
          <t>羟基磷灰石修复牙膏</t>
        </is>
      </c>
      <c r="J67" s="4" t="n">
        <v>3</v>
      </c>
      <c r="K67" s="6">
        <f>IF(OR(F67="",J67=""),"",F67*J67)</f>
        <v/>
      </c>
    </row>
    <row r="68">
      <c r="A68" s="4" t="n">
        <v>78</v>
      </c>
      <c r="B68" s="4" t="inlineStr">
        <is>
          <t>5.1-5.20</t>
        </is>
      </c>
      <c r="C68" s="4" t="inlineStr">
        <is>
          <t>大物集美</t>
        </is>
      </c>
      <c r="D68" s="4" t="inlineStr">
        <is>
          <t>6970356162391</t>
        </is>
      </c>
      <c r="E68" s="4" t="inlineStr">
        <is>
          <t>参半沸石净齿牙膏140g清新苍兰</t>
        </is>
      </c>
      <c r="F68" s="4" t="n">
        <v>37</v>
      </c>
      <c r="G68" s="4" t="n">
        <v>29.9</v>
      </c>
      <c r="H68" s="4" t="n">
        <v>2</v>
      </c>
      <c r="I68" s="4" t="inlineStr">
        <is>
          <t>沸石净齿牙膏</t>
        </is>
      </c>
      <c r="J68" s="4" t="n">
        <v>3</v>
      </c>
      <c r="K68" s="6">
        <f>IF(OR(F68="",J68=""),"",F68*J68)</f>
        <v/>
      </c>
    </row>
    <row r="69">
      <c r="A69" s="4" t="n">
        <v>79</v>
      </c>
      <c r="B69" s="4" t="inlineStr">
        <is>
          <t>5.1-5.20</t>
        </is>
      </c>
      <c r="C69" s="4" t="inlineStr">
        <is>
          <t>大物集美</t>
        </is>
      </c>
      <c r="D69" s="4" t="inlineStr">
        <is>
          <t>6970356162810</t>
        </is>
      </c>
      <c r="E69" s="4" t="inlineStr">
        <is>
          <t>参半沸石美白牙膏140g海角雏菊</t>
        </is>
      </c>
      <c r="F69" s="4" t="n">
        <v>44</v>
      </c>
      <c r="G69" s="4" t="n">
        <v>29.9</v>
      </c>
      <c r="H69" s="4" t="n">
        <v>3</v>
      </c>
      <c r="I69" s="4" t="inlineStr">
        <is>
          <t>沸石美白牙膏</t>
        </is>
      </c>
      <c r="J69" s="4" t="n">
        <v>3</v>
      </c>
      <c r="K69" s="6">
        <f>IF(OR(F69="",J69=""),"",F69*J69)</f>
        <v/>
      </c>
    </row>
    <row r="70">
      <c r="A70" s="4" t="n">
        <v>80</v>
      </c>
      <c r="B70" s="4" t="inlineStr">
        <is>
          <t>5.1-5.20</t>
        </is>
      </c>
      <c r="C70" s="4" t="inlineStr">
        <is>
          <t>大物集美</t>
        </is>
      </c>
      <c r="D70" s="4" t="inlineStr">
        <is>
          <t>6970356164395</t>
        </is>
      </c>
      <c r="E70" s="4" t="inlineStr">
        <is>
          <t>参半极光白酵素1+1超值装牙膏(极光白160g+龙井100g)</t>
        </is>
      </c>
      <c r="F70" s="4" t="n">
        <v>24</v>
      </c>
      <c r="G70" s="4" t="n">
        <v>19.9</v>
      </c>
      <c r="H70" s="4" t="n">
        <v>5</v>
      </c>
      <c r="I70" s="4" t="inlineStr">
        <is>
          <t>光白酵素1+1超值装牙膏</t>
        </is>
      </c>
      <c r="J70" s="4" t="n">
        <v>3</v>
      </c>
      <c r="K70" s="6">
        <f>IF(OR(F70="",J70=""),"",F70*J70)</f>
        <v/>
      </c>
    </row>
    <row r="71">
      <c r="A71" s="4" t="n">
        <v>81</v>
      </c>
      <c r="B71" s="4" t="inlineStr">
        <is>
          <t>5.1-5.20</t>
        </is>
      </c>
      <c r="C71" s="4" t="inlineStr">
        <is>
          <t>大物集美</t>
        </is>
      </c>
      <c r="D71" s="4" t="inlineStr">
        <is>
          <t>6970356162636</t>
        </is>
      </c>
      <c r="E71" s="4" t="inlineStr">
        <is>
          <t>参半专研清新美白牙膏100g</t>
        </is>
      </c>
      <c r="F71" s="4" t="n">
        <v>36</v>
      </c>
      <c r="G71" s="4" t="n">
        <v>29.9</v>
      </c>
      <c r="H71" s="4" t="n">
        <v>8</v>
      </c>
      <c r="I71" s="4" t="inlineStr">
        <is>
          <t>专研清新美白牙膏</t>
        </is>
      </c>
      <c r="J71" s="4" t="n">
        <v>3</v>
      </c>
      <c r="K71" s="6">
        <f>IF(OR(F71="",J71=""),"",F71*J71)</f>
        <v/>
      </c>
    </row>
    <row r="72">
      <c r="A72" s="4" t="n">
        <v>82</v>
      </c>
      <c r="B72" s="4" t="inlineStr">
        <is>
          <t>5.1-5.20</t>
        </is>
      </c>
      <c r="C72" s="4" t="inlineStr">
        <is>
          <t>大物集美</t>
        </is>
      </c>
      <c r="D72" s="4" t="inlineStr">
        <is>
          <t>6970356169338</t>
        </is>
      </c>
      <c r="E72" s="4" t="inlineStr">
        <is>
          <t>参半可益白牙膏葡萄知梨120g</t>
        </is>
      </c>
      <c r="F72" s="4" t="n">
        <v>42</v>
      </c>
      <c r="G72" s="4" t="n">
        <v>29.9</v>
      </c>
      <c r="H72" s="4" t="n">
        <v>6</v>
      </c>
      <c r="I72" s="4" t="inlineStr">
        <is>
          <t>可益白牙膏葡萄知梨牙膏</t>
        </is>
      </c>
      <c r="J72" s="4" t="n">
        <v>3</v>
      </c>
      <c r="K72" s="6">
        <f>IF(OR(F72="",J72=""),"",F72*J72)</f>
        <v/>
      </c>
    </row>
    <row r="73">
      <c r="A73" s="4" t="n">
        <v>83</v>
      </c>
      <c r="B73" s="4" t="inlineStr">
        <is>
          <t>5.1-5.20</t>
        </is>
      </c>
      <c r="C73" s="4" t="inlineStr">
        <is>
          <t>大物集美</t>
        </is>
      </c>
      <c r="D73" s="4" t="inlineStr">
        <is>
          <t>6970356169321</t>
        </is>
      </c>
      <c r="E73" s="4" t="inlineStr">
        <is>
          <t>参半可益清牙膏葡见茶爽120g</t>
        </is>
      </c>
      <c r="F73" s="4" t="n">
        <v>29</v>
      </c>
      <c r="G73" s="4" t="n">
        <v>29.9</v>
      </c>
      <c r="H73" s="4" t="n">
        <v>7</v>
      </c>
      <c r="I73" s="4" t="inlineStr">
        <is>
          <t>可益清牙膏葡见茶爽牙膏</t>
        </is>
      </c>
      <c r="J73" s="4" t="n">
        <v>3</v>
      </c>
      <c r="K73" s="6">
        <f>IF(OR(F73="",J73=""),"",F73*J73)</f>
        <v/>
      </c>
    </row>
    <row r="74">
      <c r="A74" s="12" t="inlineStr">
        <is>
          <t>合计</t>
        </is>
      </c>
      <c r="B74" s="12" t="n"/>
      <c r="C74" s="12" t="n"/>
      <c r="D74" s="12" t="n"/>
      <c r="E74" s="12" t="n"/>
      <c r="F74" s="13">
        <f>SUM(F4:F73)</f>
        <v/>
      </c>
      <c r="G74" s="12" t="n"/>
      <c r="H74" s="12" t="n"/>
      <c r="I74" s="12" t="n"/>
      <c r="J74" s="12" t="n"/>
      <c r="K74" s="13">
        <f>SUM(K4:K73)</f>
        <v/>
      </c>
    </row>
  </sheetData>
  <autoFilter ref="A3:K74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16" customWidth="1" min="5" max="5"/>
    <col width="12" customWidth="1" min="6" max="6"/>
    <col width="22" customWidth="1" min="7" max="7"/>
    <col width="25" customWidth="1" min="8" max="8"/>
    <col width="30" customWidth="1" min="9" max="9"/>
  </cols>
  <sheetData>
    <row r="1" ht="28" customHeight="1">
      <c r="A1" s="1" t="inlineStr">
        <is>
          <t>人员激励：门店应付与去重转账勾稽</t>
        </is>
      </c>
    </row>
    <row r="2" ht="32" customHeight="1">
      <c r="A2" s="2" t="inlineStr">
        <is>
          <t>金额集合一致不等于收款身份一致；截图未显示门店/收款人时单独标记为身份未验证。</t>
        </is>
      </c>
    </row>
    <row r="3" ht="30" customHeight="1">
      <c r="A3" s="3" t="inlineStr">
        <is>
          <t>门店</t>
        </is>
      </c>
      <c r="B3" s="3" t="inlineStr">
        <is>
          <t>Excel销售数量</t>
        </is>
      </c>
      <c r="C3" s="3" t="inlineStr">
        <is>
          <t>应付奖励</t>
        </is>
      </c>
      <c r="D3" s="3" t="inlineStr">
        <is>
          <t>转账ID</t>
        </is>
      </c>
      <c r="E3" s="3" t="inlineStr">
        <is>
          <t>去重转账金额</t>
        </is>
      </c>
      <c r="F3" s="3" t="inlineStr">
        <is>
          <t>金额差异</t>
        </is>
      </c>
      <c r="G3" s="3" t="inlineStr">
        <is>
          <t>匹配依据</t>
        </is>
      </c>
      <c r="H3" s="3" t="inlineStr">
        <is>
          <t>身份状态</t>
        </is>
      </c>
      <c r="I3" s="3" t="inlineStr">
        <is>
          <t>结论</t>
        </is>
      </c>
    </row>
    <row r="4">
      <c r="A4" s="4" t="inlineStr">
        <is>
          <t>云朵饰品</t>
        </is>
      </c>
      <c r="B4" s="4" t="n">
        <v>345</v>
      </c>
      <c r="C4" s="4" t="n">
        <v>1035</v>
      </c>
      <c r="D4" s="4" t="inlineStr">
        <is>
          <t>transfer-001</t>
        </is>
      </c>
      <c r="E4" s="4" t="n">
        <v>1035</v>
      </c>
      <c r="F4" s="6">
        <f>IF(OR(C4="",E4=""),"",E4-C4)</f>
        <v/>
      </c>
      <c r="G4" s="4" t="inlineStr">
        <is>
          <t>amount_multiset</t>
        </is>
      </c>
      <c r="H4" s="4" t="inlineStr">
        <is>
          <t>amount_only_unverified</t>
        </is>
      </c>
      <c r="I4" s="4" t="inlineStr">
        <is>
          <t>amount_match_identity_unverified</t>
        </is>
      </c>
    </row>
    <row r="5">
      <c r="A5" s="4" t="inlineStr">
        <is>
          <t>红梅名妆</t>
        </is>
      </c>
      <c r="B5" s="4" t="n">
        <v>352</v>
      </c>
      <c r="C5" s="4" t="n">
        <v>1056</v>
      </c>
      <c r="D5" s="4" t="inlineStr">
        <is>
          <t>transfer-002</t>
        </is>
      </c>
      <c r="E5" s="4" t="n">
        <v>1056</v>
      </c>
      <c r="F5" s="6">
        <f>IF(OR(C5="",E5=""),"",E5-C5)</f>
        <v/>
      </c>
      <c r="G5" s="4" t="inlineStr">
        <is>
          <t>amount_multiset</t>
        </is>
      </c>
      <c r="H5" s="4" t="inlineStr">
        <is>
          <t>amount_only_unverified</t>
        </is>
      </c>
      <c r="I5" s="4" t="inlineStr">
        <is>
          <t>amount_match_identity_unverified</t>
        </is>
      </c>
    </row>
    <row r="6">
      <c r="A6" s="4" t="inlineStr">
        <is>
          <t>丽源名妆</t>
        </is>
      </c>
      <c r="B6" s="4" t="n">
        <v>344</v>
      </c>
      <c r="C6" s="4" t="n">
        <v>1032</v>
      </c>
      <c r="D6" s="4" t="inlineStr">
        <is>
          <t>transfer-003</t>
        </is>
      </c>
      <c r="E6" s="4" t="n">
        <v>1032</v>
      </c>
      <c r="F6" s="6">
        <f>IF(OR(C6="",E6=""),"",E6-C6)</f>
        <v/>
      </c>
      <c r="G6" s="4" t="inlineStr">
        <is>
          <t>amount_multiset</t>
        </is>
      </c>
      <c r="H6" s="4" t="inlineStr">
        <is>
          <t>amount_only_unverified</t>
        </is>
      </c>
      <c r="I6" s="4" t="inlineStr">
        <is>
          <t>amount_match_identity_unverified</t>
        </is>
      </c>
    </row>
    <row r="7">
      <c r="A7" s="4" t="inlineStr">
        <is>
          <t>米菲精品</t>
        </is>
      </c>
      <c r="B7" s="4" t="n">
        <v>338</v>
      </c>
      <c r="C7" s="4" t="n">
        <v>1014</v>
      </c>
      <c r="D7" s="4" t="inlineStr">
        <is>
          <t>transfer-004</t>
        </is>
      </c>
      <c r="E7" s="4" t="n">
        <v>1014</v>
      </c>
      <c r="F7" s="6">
        <f>IF(OR(C7="",E7=""),"",E7-C7)</f>
        <v/>
      </c>
      <c r="G7" s="4" t="inlineStr">
        <is>
          <t>amount_multiset</t>
        </is>
      </c>
      <c r="H7" s="4" t="inlineStr">
        <is>
          <t>amount_only_unverified</t>
        </is>
      </c>
      <c r="I7" s="4" t="inlineStr">
        <is>
          <t>amount_match_identity_unverified</t>
        </is>
      </c>
    </row>
    <row r="8">
      <c r="A8" s="4" t="inlineStr">
        <is>
          <t>桐贝美妆</t>
        </is>
      </c>
      <c r="B8" s="4" t="n">
        <v>365</v>
      </c>
      <c r="C8" s="4" t="n">
        <v>1095</v>
      </c>
      <c r="D8" s="4" t="inlineStr">
        <is>
          <t>transfer-006</t>
        </is>
      </c>
      <c r="E8" s="4" t="n">
        <v>1095</v>
      </c>
      <c r="F8" s="6">
        <f>IF(OR(C8="",E8=""),"",E8-C8)</f>
        <v/>
      </c>
      <c r="G8" s="4" t="inlineStr">
        <is>
          <t>amount_multiset</t>
        </is>
      </c>
      <c r="H8" s="4" t="inlineStr">
        <is>
          <t>amount_only_ambiguous</t>
        </is>
      </c>
      <c r="I8" s="4" t="inlineStr">
        <is>
          <t>amount_match_identity_unverified</t>
        </is>
      </c>
    </row>
    <row r="9">
      <c r="A9" s="4" t="inlineStr">
        <is>
          <t>时尚密码</t>
        </is>
      </c>
      <c r="B9" s="4" t="n">
        <v>365</v>
      </c>
      <c r="C9" s="4" t="n">
        <v>1095</v>
      </c>
      <c r="D9" s="4" t="inlineStr">
        <is>
          <t>transfer-005</t>
        </is>
      </c>
      <c r="E9" s="4" t="n">
        <v>1095</v>
      </c>
      <c r="F9" s="6">
        <f>IF(OR(C9="",E9=""),"",E9-C9)</f>
        <v/>
      </c>
      <c r="G9" s="4" t="inlineStr">
        <is>
          <t>amount_multiset</t>
        </is>
      </c>
      <c r="H9" s="4" t="inlineStr">
        <is>
          <t>amount_only_ambiguous</t>
        </is>
      </c>
      <c r="I9" s="4" t="inlineStr">
        <is>
          <t>amount_match_identity_unverified</t>
        </is>
      </c>
    </row>
    <row r="10">
      <c r="A10" s="4" t="inlineStr">
        <is>
          <t>大物集美</t>
        </is>
      </c>
      <c r="B10" s="4" t="n">
        <v>342</v>
      </c>
      <c r="C10" s="4" t="n">
        <v>1026</v>
      </c>
      <c r="D10" s="4" t="inlineStr">
        <is>
          <t>transfer-007</t>
        </is>
      </c>
      <c r="E10" s="4" t="n">
        <v>1026</v>
      </c>
      <c r="F10" s="6">
        <f>IF(OR(C10="",E10=""),"",E10-C10)</f>
        <v/>
      </c>
      <c r="G10" s="4" t="inlineStr">
        <is>
          <t>amount_multiset</t>
        </is>
      </c>
      <c r="H10" s="4" t="inlineStr">
        <is>
          <t>amount_only_unverified</t>
        </is>
      </c>
      <c r="I10" s="4" t="inlineStr">
        <is>
          <t>amount_match_identity_unverified</t>
        </is>
      </c>
    </row>
    <row r="11">
      <c r="A11" s="12" t="inlineStr">
        <is>
          <t>合计</t>
        </is>
      </c>
      <c r="B11" s="13">
        <f>SUM(B4:B10)</f>
        <v/>
      </c>
      <c r="C11" s="13">
        <f>SUM(C4:C10)</f>
        <v/>
      </c>
      <c r="D11" s="12" t="n"/>
      <c r="E11" s="13">
        <f>SUM(E4:E10)</f>
        <v/>
      </c>
      <c r="F11" s="13">
        <f>SUM(F4:F10)</f>
        <v/>
      </c>
      <c r="G11" s="12" t="n"/>
      <c r="H11" s="12" t="n"/>
      <c r="I11" s="12" t="n"/>
    </row>
  </sheetData>
  <autoFilter ref="A3:I11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2" customWidth="1" min="5" max="5"/>
    <col width="20" customWidth="1" min="6" max="6"/>
    <col width="46" customWidth="1" min="7" max="7"/>
    <col width="55" customWidth="1" min="8" max="8"/>
    <col width="35" customWidth="1" min="9" max="9"/>
  </cols>
  <sheetData>
    <row r="1" ht="28" customHeight="1">
      <c r="A1" s="1" t="inlineStr">
        <is>
          <t>人员激励：转账截图去重明细</t>
        </is>
      </c>
    </row>
    <row r="2" ht="32" customHeight="1">
      <c r="A2" s="2" t="inlineStr">
        <is>
          <t>同一笔转账的发送方与接收方气泡合并为一个transfer_id，同时保留画面出现次数。</t>
        </is>
      </c>
    </row>
    <row r="3" ht="30" customHeight="1">
      <c r="A3" s="3" t="inlineStr">
        <is>
          <t>转账ID</t>
        </is>
      </c>
      <c r="B3" s="3" t="inlineStr">
        <is>
          <t>金额</t>
        </is>
      </c>
      <c r="C3" s="3" t="inlineStr">
        <is>
          <t>画面出现次数</t>
        </is>
      </c>
      <c r="D3" s="3" t="inlineStr">
        <is>
          <t>身份可见</t>
        </is>
      </c>
      <c r="E3" s="3" t="inlineStr">
        <is>
          <t>日期可见</t>
        </is>
      </c>
      <c r="F3" s="3" t="inlineStr">
        <is>
          <t>门店/收款人</t>
        </is>
      </c>
      <c r="G3" s="3" t="inlineStr">
        <is>
          <t>来源文件</t>
        </is>
      </c>
      <c r="H3" s="3" t="inlineStr">
        <is>
          <t>去重依据</t>
        </is>
      </c>
      <c r="I3" s="3" t="inlineStr">
        <is>
          <t>备注</t>
        </is>
      </c>
    </row>
    <row r="4">
      <c r="A4" s="4" t="inlineStr">
        <is>
          <t>transfer-001</t>
        </is>
      </c>
      <c r="B4" s="4" t="n">
        <v>1035</v>
      </c>
      <c r="C4" s="4" t="n">
        <v>2</v>
      </c>
      <c r="D4" s="4" t="inlineStr">
        <is>
          <t>否</t>
        </is>
      </c>
      <c r="E4" s="4" t="inlineStr">
        <is>
          <t>否</t>
        </is>
      </c>
      <c r="F4" s="4" t="n"/>
      <c r="G4" s="4" t="inlineStr">
        <is>
          <t>雨瑶人员激励红包图片.jpg</t>
        </is>
      </c>
      <c r="H4" s="4" t="inlineStr">
        <is>
          <t>Within the screenshot, ¥1035.00 appears once in a right-side transfer card marked 已被接收 and once in a left-side card marked 已收款. The amount is unique within this image, so these are retained as two mirrored visible occurrences of one transfer.</t>
        </is>
      </c>
      <c r="I4" s="4" t="inlineStr">
        <is>
          <t>The chat title is 业务团队; no individual recipient or store name is visible.；A 星期四 17:17 separator, a 10:45 chat-time marker, and device time 10:46 are visible, but no calendar date is visible.；No store assignment is made from the amount.</t>
        </is>
      </c>
    </row>
    <row r="5">
      <c r="A5" s="4" t="inlineStr">
        <is>
          <t>transfer-002</t>
        </is>
      </c>
      <c r="B5" s="4" t="n">
        <v>1056</v>
      </c>
      <c r="C5" s="4" t="n">
        <v>2</v>
      </c>
      <c r="D5" s="4" t="inlineStr">
        <is>
          <t>否</t>
        </is>
      </c>
      <c r="E5" s="4" t="inlineStr">
        <is>
          <t>否</t>
        </is>
      </c>
      <c r="F5" s="4" t="n"/>
      <c r="G5" s="4" t="inlineStr">
        <is>
          <t>雨瑶人员激励红包图片.jpg</t>
        </is>
      </c>
      <c r="H5" s="4" t="inlineStr">
        <is>
          <t>Within the screenshot, ¥1056.00 appears once in a right-side transfer card marked 已被接收 and once in a left-side card marked 已收款. The amount is unique within this image, so these are retained as two mirrored visible occurrences of one transfer.</t>
        </is>
      </c>
      <c r="I5" s="4" t="inlineStr">
        <is>
          <t>The chat title is 业务团队; no individual recipient or store name is visible.；No calendar date is visible.；No store assignment is made from the amount.</t>
        </is>
      </c>
    </row>
    <row r="6">
      <c r="A6" s="4" t="inlineStr">
        <is>
          <t>transfer-003</t>
        </is>
      </c>
      <c r="B6" s="4" t="n">
        <v>1032</v>
      </c>
      <c r="C6" s="4" t="n">
        <v>2</v>
      </c>
      <c r="D6" s="4" t="inlineStr">
        <is>
          <t>否</t>
        </is>
      </c>
      <c r="E6" s="4" t="inlineStr">
        <is>
          <t>否</t>
        </is>
      </c>
      <c r="F6" s="4" t="n"/>
      <c r="G6" s="4" t="inlineStr">
        <is>
          <t>雨瑶人员激励红包图片.jpg</t>
        </is>
      </c>
      <c r="H6" s="4" t="inlineStr">
        <is>
          <t>Within the screenshot, ¥1032.00 appears once in a right-side transfer card marked 已被接收 and once in a left-side card marked 已收款. The amount is unique within this image, so these are retained as two mirrored visible occurrences of one transfer.</t>
        </is>
      </c>
      <c r="I6" s="4" t="inlineStr">
        <is>
          <t>The chat title is 业务团队; no individual recipient or store name is visible.；No calendar date is visible.；No store assignment is made from the amount.</t>
        </is>
      </c>
    </row>
    <row r="7">
      <c r="A7" s="4" t="inlineStr">
        <is>
          <t>transfer-004</t>
        </is>
      </c>
      <c r="B7" s="4" t="n">
        <v>1014</v>
      </c>
      <c r="C7" s="4" t="n">
        <v>2</v>
      </c>
      <c r="D7" s="4" t="inlineStr">
        <is>
          <t>是</t>
        </is>
      </c>
      <c r="E7" s="4" t="inlineStr">
        <is>
          <t>否</t>
        </is>
      </c>
      <c r="F7" s="4" t="inlineStr">
        <is>
          <t>闫志文</t>
        </is>
      </c>
      <c r="G7" s="4" t="inlineStr">
        <is>
          <t>雨瑶人员激励红包图片2.jpg</t>
        </is>
      </c>
      <c r="H7" s="4" t="inlineStr">
        <is>
          <t>Within the screenshot, ¥1014.00 appears once in a right-side transfer card marked 已被接收 and once in a left-side card marked 已收款; they are count-paired as two mirrored visible occurrences of one transfer.</t>
        </is>
      </c>
      <c r="I7" s="4" t="inlineStr">
        <is>
          <t>The chat header visibly shows 同事 市场部 闫志文; recipient_name records the visible contact name, but no evidence links that person to an Excel store.；No transaction or chat date is visible; device time 10:54 is not treated as an event date.；No store assignment is made from the amount.</t>
        </is>
      </c>
    </row>
    <row r="8">
      <c r="A8" s="4" t="inlineStr">
        <is>
          <t>transfer-005</t>
        </is>
      </c>
      <c r="B8" s="4" t="n">
        <v>1095</v>
      </c>
      <c r="C8" s="4" t="n">
        <v>2</v>
      </c>
      <c r="D8" s="4" t="inlineStr">
        <is>
          <t>是</t>
        </is>
      </c>
      <c r="E8" s="4" t="inlineStr">
        <is>
          <t>否</t>
        </is>
      </c>
      <c r="F8" s="4" t="inlineStr">
        <is>
          <t>闫志文</t>
        </is>
      </c>
      <c r="G8" s="4" t="inlineStr">
        <is>
          <t>雨瑶人员激励红包图片2.jpg</t>
        </is>
      </c>
      <c r="H8" s="4" t="inlineStr">
        <is>
          <t>The screenshot contains two right-side ¥1095.00 cards and two left-side ¥1095.00 views. Count-preserving sender/receiver pairing yields two distinct ¥1095.00 transfers. This record is one of those transfers with two visible occurrences; the individual same-amount pair assignment is not distinguishable.</t>
        </is>
      </c>
      <c r="I8" s="4" t="inlineStr">
        <is>
          <t>The chat header visibly shows 同事 市场部 闫志文; recipient_name records the visible contact name, but no evidence links that person to an Excel store.；One left-side ¥1095.00 card is fully visible with 已收款; the lower left-side ¥1095.00 occurrence is partly obscured by the input area, although its amount and receiver-side card are visible.；No transaction date is visible.；No store assignment is made from the amount.</t>
        </is>
      </c>
    </row>
    <row r="9">
      <c r="A9" s="4" t="inlineStr">
        <is>
          <t>transfer-006</t>
        </is>
      </c>
      <c r="B9" s="4" t="n">
        <v>1095</v>
      </c>
      <c r="C9" s="4" t="n">
        <v>2</v>
      </c>
      <c r="D9" s="4" t="inlineStr">
        <is>
          <t>是</t>
        </is>
      </c>
      <c r="E9" s="4" t="inlineStr">
        <is>
          <t>否</t>
        </is>
      </c>
      <c r="F9" s="4" t="inlineStr">
        <is>
          <t>闫志文</t>
        </is>
      </c>
      <c r="G9" s="4" t="inlineStr">
        <is>
          <t>雨瑶人员激励红包图片2.jpg</t>
        </is>
      </c>
      <c r="H9" s="4" t="inlineStr">
        <is>
          <t>The screenshot contains two right-side ¥1095.00 cards and two left-side ¥1095.00 views. Count-preserving sender/receiver pairing yields two distinct ¥1095.00 transfers. This record is the second of those transfers with two visible occurrences; the individual same-amount pair assignment is not distinguishable.</t>
        </is>
      </c>
      <c r="I9" s="4" t="inlineStr">
        <is>
          <t>The chat header visibly shows 同事 市场部 闫志文; recipient_name records the visible contact name, but no evidence links that person to an Excel store.；One left-side ¥1095.00 card is fully visible with 已收款; the lower left-side ¥1095.00 occurrence is partly obscured by the input area, although its amount and receiver-side card are visible.；No transaction date is visible.；No store assignment is made from the amount.</t>
        </is>
      </c>
    </row>
    <row r="10">
      <c r="A10" s="4" t="inlineStr">
        <is>
          <t>transfer-007</t>
        </is>
      </c>
      <c r="B10" s="4" t="n">
        <v>1026</v>
      </c>
      <c r="C10" s="4" t="n">
        <v>2</v>
      </c>
      <c r="D10" s="4" t="inlineStr">
        <is>
          <t>是</t>
        </is>
      </c>
      <c r="E10" s="4" t="inlineStr">
        <is>
          <t>否</t>
        </is>
      </c>
      <c r="F10" s="4" t="inlineStr">
        <is>
          <t>闫志文</t>
        </is>
      </c>
      <c r="G10" s="4" t="inlineStr">
        <is>
          <t>雨瑶人员激励红包图片2.jpg</t>
        </is>
      </c>
      <c r="H10" s="4" t="inlineStr">
        <is>
          <t>Within the screenshot, ¥1026.00 appears once in a right-side transfer card marked 已被接收 and once in a left-side card marked 已收款; they are count-paired as two mirrored visible occurrences of one transfer.</t>
        </is>
      </c>
      <c r="I10" s="4" t="inlineStr">
        <is>
          <t>The chat header visibly shows 同事 市场部 闫志文; recipient_name records the visible contact name, but no evidence links that person to an Excel store.；No transaction date is visible.；No store assignment is made from the amount.</t>
        </is>
      </c>
    </row>
  </sheetData>
  <autoFilter ref="A3:I10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60" customWidth="1" min="4" max="4"/>
    <col width="42" customWidth="1" min="5" max="5"/>
    <col width="52" customWidth="1" min="6" max="6"/>
  </cols>
  <sheetData>
    <row r="1" ht="28" customHeight="1">
      <c r="A1" s="1" t="inlineStr">
        <is>
          <t>SQ202604300025-HX202605260014-郑州雨瑶-人员激励：异常与补证清单</t>
        </is>
      </c>
    </row>
    <row r="2" ht="32" customHeight="1">
      <c r="A2" s="2" t="inlineStr">
        <is>
          <t>高风险影响数量/金额或核心证据；中风险表示口径、身份或真实性证据仍需说明。</t>
        </is>
      </c>
    </row>
    <row r="3" ht="30" customHeight="1">
      <c r="A3" s="3" t="inlineStr">
        <is>
          <t>序号</t>
        </is>
      </c>
      <c r="B3" s="3" t="inlineStr">
        <is>
          <t>等级</t>
        </is>
      </c>
      <c r="C3" s="3" t="inlineStr">
        <is>
          <t>异常代码</t>
        </is>
      </c>
      <c r="D3" s="3" t="inlineStr">
        <is>
          <t>发现</t>
        </is>
      </c>
      <c r="E3" s="3" t="inlineStr">
        <is>
          <t>影响</t>
        </is>
      </c>
      <c r="F3" s="3" t="inlineStr">
        <is>
          <t>补证/处理建议</t>
        </is>
      </c>
    </row>
    <row r="4">
      <c r="A4" s="7" t="n">
        <v>1</v>
      </c>
      <c r="B4" s="7" t="inlineStr">
        <is>
          <t>medium</t>
        </is>
      </c>
      <c r="C4" s="7" t="inlineStr">
        <is>
          <t>NON_HIGH_CONFIDENCE_SKU_MAPPING</t>
        </is>
      </c>
      <c r="D4" s="7" t="inlineStr">
        <is>
          <t>结算单第1行SKU映射置信度为medium。
来源：settlement line 1</t>
        </is>
      </c>
      <c r="E4" s="7" t="inlineStr">
        <is>
          <t>逐项数量虽然可计算，但商品身份仍有不确定性。</t>
        </is>
      </c>
      <c r="F4" s="7" t="inlineStr">
        <is>
          <t>补充结算单条码或商品主数据映射。</t>
        </is>
      </c>
    </row>
    <row r="5">
      <c r="A5" s="7" t="n">
        <v>2</v>
      </c>
      <c r="B5" s="7" t="inlineStr">
        <is>
          <t>medium</t>
        </is>
      </c>
      <c r="C5" s="7" t="inlineStr">
        <is>
          <t>NON_HIGH_CONFIDENCE_SKU_MAPPING</t>
        </is>
      </c>
      <c r="D5" s="7" t="inlineStr">
        <is>
          <t>结算单第5行SKU映射置信度为medium。
来源：settlement line 5</t>
        </is>
      </c>
      <c r="E5" s="7" t="inlineStr">
        <is>
          <t>逐项数量虽然可计算，但商品身份仍有不确定性。</t>
        </is>
      </c>
      <c r="F5" s="7" t="inlineStr">
        <is>
          <t>补充结算单条码或商品主数据映射。</t>
        </is>
      </c>
    </row>
    <row r="6">
      <c r="A6" s="7" t="n">
        <v>3</v>
      </c>
      <c r="B6" s="7" t="inlineStr">
        <is>
          <t>medium</t>
        </is>
      </c>
      <c r="C6" s="7" t="inlineStr">
        <is>
          <t>NON_HIGH_CONFIDENCE_SKU_MAPPING</t>
        </is>
      </c>
      <c r="D6" s="7" t="inlineStr">
        <is>
          <t>结算单第9行SKU映射置信度为medium。
来源：settlement line 9</t>
        </is>
      </c>
      <c r="E6" s="7" t="inlineStr">
        <is>
          <t>逐项数量虽然可计算，但商品身份仍有不确定性。</t>
        </is>
      </c>
      <c r="F6" s="7" t="inlineStr">
        <is>
          <t>补充结算单条码或商品主数据映射。</t>
        </is>
      </c>
    </row>
    <row r="7">
      <c r="A7" s="7" t="n">
        <v>4</v>
      </c>
      <c r="B7" s="7" t="inlineStr">
        <is>
          <t>medium</t>
        </is>
      </c>
      <c r="C7" s="7" t="inlineStr">
        <is>
          <t>NON_HIGH_CONFIDENCE_SKU_MAPPING</t>
        </is>
      </c>
      <c r="D7" s="7" t="inlineStr">
        <is>
          <t>结算单第10行SKU映射置信度为medium。
来源：settlement line 10</t>
        </is>
      </c>
      <c r="E7" s="7" t="inlineStr">
        <is>
          <t>逐项数量虽然可计算，但商品身份仍有不确定性。</t>
        </is>
      </c>
      <c r="F7" s="7" t="inlineStr">
        <is>
          <t>补充结算单条码或商品主数据映射。</t>
        </is>
      </c>
    </row>
    <row r="8">
      <c r="A8" s="7" t="n">
        <v>5</v>
      </c>
      <c r="B8" s="7" t="inlineStr">
        <is>
          <t>medium</t>
        </is>
      </c>
      <c r="C8" s="7" t="inlineStr">
        <is>
          <t>CLAIM_DIFFERS_FROM_SETTLEMENT_LINES</t>
        </is>
      </c>
      <c r="D8" s="7" t="inlineStr">
        <is>
          <t>实际核销金额7350.00与结算单逐行合计7353.00相差-3.00元。</t>
        </is>
      </c>
      <c r="E8" s="7" t="inlineStr">
        <is>
          <t>需要明确人工调整、舍尾或扣减口径。</t>
        </is>
      </c>
      <c r="F8" s="7" t="inlineStr">
        <is>
          <t>提供差额说明并在审批记录中保留调整依据。</t>
        </is>
      </c>
    </row>
    <row r="9">
      <c r="A9" s="7" t="n">
        <v>6</v>
      </c>
      <c r="B9" s="7" t="inlineStr">
        <is>
          <t>medium</t>
        </is>
      </c>
      <c r="C9" s="7" t="inlineStr">
        <is>
          <t>TRANSFER_STORE_IDENTITY_NOT_VISIBLE</t>
        </is>
      </c>
      <c r="D9" s="7" t="inlineStr">
        <is>
          <t>转账截图未显示可核验的门店/收款人身份，只能按金额集合勾稽。</t>
        </is>
      </c>
      <c r="E9" s="7" t="inlineStr">
        <is>
          <t>无法证明每笔款项实际支付给对应门店。</t>
        </is>
      </c>
      <c r="F9" s="7" t="inlineStr">
        <is>
          <t>补充显示收款人、门店映射和交易单号的转账详情。</t>
        </is>
      </c>
    </row>
    <row r="10">
      <c r="A10" s="7" t="n">
        <v>7</v>
      </c>
      <c r="B10" s="7" t="inlineStr">
        <is>
          <t>medium</t>
        </is>
      </c>
      <c r="C10" s="7" t="inlineStr">
        <is>
          <t>TRANSFER_DATE_NOT_VISIBLE</t>
        </is>
      </c>
      <c r="D10" s="7" t="inlineStr">
        <is>
          <t>转账截图未显示完整交易日期。</t>
        </is>
      </c>
      <c r="E10" s="7" t="inlineStr">
        <is>
          <t>无法独立确认付款发生在活动结算周期内。</t>
        </is>
      </c>
      <c r="F10" s="7" t="inlineStr">
        <is>
          <t>补充带交易日期和交易单号的明细。</t>
        </is>
      </c>
    </row>
  </sheetData>
  <autoFilter ref="A3:F10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46" customWidth="1" min="3" max="3"/>
    <col width="10" customWidth="1" min="4" max="4"/>
    <col width="13" customWidth="1" min="5" max="5"/>
    <col width="36" customWidth="1" min="6" max="6"/>
    <col width="13" customWidth="1" min="7" max="7"/>
    <col width="15" customWidth="1" min="8" max="8"/>
    <col width="15" customWidth="1" min="9" max="9"/>
    <col width="14" customWidth="1" min="10" max="10"/>
    <col width="12" customWidth="1" min="11" max="11"/>
    <col width="14" customWidth="1" min="12" max="12"/>
    <col width="50" customWidth="1" min="13" max="13"/>
    <col width="52" customWidth="1" min="14" max="14"/>
  </cols>
  <sheetData>
    <row r="1" ht="28" customHeight="1">
      <c r="A1" s="1" t="inlineStr">
        <is>
          <t>堆头核销：合同门店与照片逐店证据核验</t>
        </is>
      </c>
    </row>
    <row r="2" ht="32" customHeight="1">
      <c r="A2" s="2" t="inlineStr">
        <is>
          <t>单店费用仅在照片、期间、门店、陈列和重复检查全部通过时计入支持金额。</t>
        </is>
      </c>
    </row>
    <row r="3" ht="30" customHeight="1">
      <c r="A3" s="3" t="inlineStr">
        <is>
          <t>序号</t>
        </is>
      </c>
      <c r="B3" s="3" t="inlineStr">
        <is>
          <t>合同门店</t>
        </is>
      </c>
      <c r="C3" s="3" t="inlineStr">
        <is>
          <t>照片文件</t>
        </is>
      </c>
      <c r="D3" s="3" t="inlineStr">
        <is>
          <t>照片数</t>
        </is>
      </c>
      <c r="E3" s="3" t="inlineStr">
        <is>
          <t>可见日期</t>
        </is>
      </c>
      <c r="F3" s="3" t="inlineStr">
        <is>
          <t>可见地点/水印</t>
        </is>
      </c>
      <c r="G3" s="3" t="inlineStr">
        <is>
          <t>期间</t>
        </is>
      </c>
      <c r="H3" s="3" t="inlineStr">
        <is>
          <t>门店匹配</t>
        </is>
      </c>
      <c r="I3" s="3" t="inlineStr">
        <is>
          <t>陈列标准</t>
        </is>
      </c>
      <c r="J3" s="3" t="inlineStr">
        <is>
          <t>重复检查</t>
        </is>
      </c>
      <c r="K3" s="3" t="inlineStr">
        <is>
          <t>结论</t>
        </is>
      </c>
      <c r="L3" s="3" t="inlineStr">
        <is>
          <t>支持金额</t>
        </is>
      </c>
      <c r="M3" s="3" t="inlineStr">
        <is>
          <t>风险说明</t>
        </is>
      </c>
      <c r="N3" s="3" t="inlineStr">
        <is>
          <t>补证建议</t>
        </is>
      </c>
    </row>
    <row r="4">
      <c r="A4" s="4" t="n">
        <v>1</v>
      </c>
      <c r="B4" s="4" t="inlineStr">
        <is>
          <t>66广场家家欣</t>
        </is>
      </c>
      <c r="C4" s="4" t="inlineStr">
        <is>
          <t>核销资料-诚成26年4月【堆头20家】/堆头照片/1.厚街汉邦66广场家家欣.jpg</t>
        </is>
      </c>
      <c r="D4" s="4" t="n">
        <v>1</v>
      </c>
      <c r="E4" s="4" t="inlineStr">
        <is>
          <t>2026-04-30</t>
        </is>
      </c>
      <c r="F4" s="4" t="inlineStr">
        <is>
          <t>广东省东莞市厚街镇汉邦广场</t>
        </is>
      </c>
      <c r="G4" s="4" t="inlineStr">
        <is>
          <t>是</t>
        </is>
      </c>
      <c r="H4" s="4" t="inlineStr">
        <is>
          <t>不一致</t>
        </is>
      </c>
      <c r="I4" s="4" t="inlineStr">
        <is>
          <t>是</t>
        </is>
      </c>
      <c r="J4" s="4" t="inlineStr">
        <is>
          <t>未发现</t>
        </is>
      </c>
      <c r="K4" s="7" t="inlineStr">
        <is>
          <t>补证</t>
        </is>
      </c>
      <c r="L4" s="6">
        <f>IF(K4="通过",1000,0)</f>
        <v/>
      </c>
      <c r="M4" s="4" t="inlineStr">
        <is>
          <t>画面显示参半礼盒/牙膏在大型多层岛柜上多列陈列，可见至少4纵陈列特征。；水印地点与合同门店名称未形成独立一致映射。；JPEG文件EXIF为空；日期和地点只来自画面内可见水印，未由EXIF/GPS独立验证。；文件SHA-256=2bc5b681403c0d0e05ba6394449fd73b18e211370dbdfc3b1e3166678fb33aad，在本案21张照片中精确哈希出现次数为1；感知指纹筛查未见近似重复。；结构化核验引用了不存在的照片文件：核销资料-诚成26年4月【堆头20家】/堆头照片/1.厚街汉邦66广场家家欣.jpg</t>
        </is>
      </c>
      <c r="N4" s="4" t="inlineStr">
        <is>
          <t>补充“66广场家家欣”与“厚街镇汉邦广场”的地址/入驻关系证明，或提供同日带完整门店名称与地点水印的现场照片。；补齐缺失原始照片文件</t>
        </is>
      </c>
    </row>
    <row r="5">
      <c r="A5" s="4" t="n">
        <v>2</v>
      </c>
      <c r="B5" s="4" t="inlineStr">
        <is>
          <t>百佳华松岗店</t>
        </is>
      </c>
      <c r="C5" s="4" t="inlineStr">
        <is>
          <t>核销资料-诚成26年4月【堆头20家】/堆头照片/2.松岗百佳华.jpg</t>
        </is>
      </c>
      <c r="D5" s="4" t="n">
        <v>1</v>
      </c>
      <c r="E5" s="4" t="inlineStr">
        <is>
          <t>2026-04-30</t>
        </is>
      </c>
      <c r="F5" s="4" t="inlineStr">
        <is>
          <t>深圳市·百佳华超市(松岗百佳华商场店)</t>
        </is>
      </c>
      <c r="G5" s="4" t="inlineStr">
        <is>
          <t>是</t>
        </is>
      </c>
      <c r="H5" s="4" t="inlineStr">
        <is>
          <t>基本匹配</t>
        </is>
      </c>
      <c r="I5" s="4" t="inlineStr">
        <is>
          <t>是</t>
        </is>
      </c>
      <c r="J5" s="4" t="inlineStr">
        <is>
          <t>未发现</t>
        </is>
      </c>
      <c r="K5" s="7" t="inlineStr">
        <is>
          <t>补证</t>
        </is>
      </c>
      <c r="L5" s="6">
        <f>IF(K5="通过",1000,0)</f>
        <v/>
      </c>
      <c r="M5" s="4" t="inlineStr">
        <is>
          <t>参半产品在多层货架上形成多列陈列，可见至少4纵陈列特征。；合同简称与水印全称并非逐字相同。；JPEG文件EXIF为空；日期和地点只来自画面内可见水印，未由EXIF/GPS独立验证。；文件SHA-256=12b86e89b2996c4ee22ce55cfa65249237f10c2651963f0a74d6748f6fbdf29f，在本案21张照片中精确哈希出现次数为1；感知指纹筛查未见近似重复。；结构化核验引用了不存在的照片文件：核销资料-诚成26年4月【堆头20家】/堆头照片/2.松岗百佳华.jpg</t>
        </is>
      </c>
      <c r="N5" s="4" t="inlineStr">
        <is>
          <t>如需严格同店证明，补充“百佳华松岗店”与“百佳华超市(松岗百佳华商场店)”的门店编码或地址映射。；补齐缺失原始照片文件</t>
        </is>
      </c>
    </row>
    <row r="6">
      <c r="A6" s="4" t="n">
        <v>3</v>
      </c>
      <c r="B6" s="4" t="inlineStr">
        <is>
          <t>百佳华百货（公明店）</t>
        </is>
      </c>
      <c r="C6" s="4" t="inlineStr">
        <is>
          <t>核销资料-诚成26年4月【堆头20家】/堆头照片/3.公明百佳华.jpg</t>
        </is>
      </c>
      <c r="D6" s="4" t="n">
        <v>1</v>
      </c>
      <c r="E6" s="4" t="inlineStr">
        <is>
          <t>2026-04-30</t>
        </is>
      </c>
      <c r="F6" s="4" t="inlineStr">
        <is>
          <t>深圳市·百佳华佳漾汇(公明店)</t>
        </is>
      </c>
      <c r="G6" s="4" t="inlineStr">
        <is>
          <t>是</t>
        </is>
      </c>
      <c r="H6" s="4" t="inlineStr">
        <is>
          <t>基本匹配</t>
        </is>
      </c>
      <c r="I6" s="4" t="inlineStr">
        <is>
          <t>是</t>
        </is>
      </c>
      <c r="J6" s="4" t="inlineStr">
        <is>
          <t>未发现</t>
        </is>
      </c>
      <c r="K6" s="7" t="inlineStr">
        <is>
          <t>补证</t>
        </is>
      </c>
      <c r="L6" s="6">
        <f>IF(K6="通过",1000,0)</f>
        <v/>
      </c>
      <c r="M6" s="4" t="inlineStr">
        <is>
          <t>多层端架上可见参半礼盒多列陈列，至少4个纵向陈列位可辨。；“百佳华百货”与“百佳华佳漾汇”的名称变化未附正式说明。；JPEG文件EXIF为空；日期和地点只来自画面内可见水印，未由EXIF/GPS独立验证。；文件SHA-256=334f7fe95b8f70a59cf89c0e2b65a47ba1a19c70d8b1695a51ecd59bdce07463，在本案21张照片中精确哈希出现次数为1；感知指纹筛查未见近似重复。；结构化核验引用了不存在的照片文件：核销资料-诚成26年4月【堆头20家】/堆头照片/3.公明百佳华.jpg</t>
        </is>
      </c>
      <c r="N6" s="4" t="inlineStr">
        <is>
          <t>补充公明店更名、门店编码或地址一致性证明。；补齐缺失原始照片文件</t>
        </is>
      </c>
    </row>
    <row r="7">
      <c r="A7" s="4" t="n">
        <v>4</v>
      </c>
      <c r="B7" s="4" t="inlineStr">
        <is>
          <t>百佳华佳漾汇（新桥店）</t>
        </is>
      </c>
      <c r="C7" s="4" t="inlineStr">
        <is>
          <t>核销资料-诚成26年4月【堆头20家】/堆头照片/4.新桥百佳华.jpg</t>
        </is>
      </c>
      <c r="D7" s="4" t="n">
        <v>1</v>
      </c>
      <c r="E7" s="4" t="inlineStr">
        <is>
          <t>2026-04-30</t>
        </is>
      </c>
      <c r="F7" s="4" t="inlineStr">
        <is>
          <t>深圳市宝安区新桥街道·百佳华佳漾汇(新桥店)</t>
        </is>
      </c>
      <c r="G7" s="4" t="inlineStr">
        <is>
          <t>是</t>
        </is>
      </c>
      <c r="H7" s="4" t="inlineStr">
        <is>
          <t>是</t>
        </is>
      </c>
      <c r="I7" s="4" t="inlineStr">
        <is>
          <t>是</t>
        </is>
      </c>
      <c r="J7" s="4" t="inlineStr">
        <is>
          <t>未发现</t>
        </is>
      </c>
      <c r="K7" s="7" t="inlineStr">
        <is>
          <t>补证</t>
        </is>
      </c>
      <c r="L7" s="6">
        <f>IF(K7="通过",1000,0)</f>
        <v/>
      </c>
      <c r="M7" s="4" t="inlineStr">
        <is>
          <t>画面可见多层端架及参半礼盒/盒装产品多列陈列，满足至少4纵陈列的可见特征。；原图仅600×800，细节分辨率有限。；JPEG文件EXIF为空；日期和地点只来自画面内可见水印，未由EXIF/GPS独立验证。；文件SHA-256=df7c36d02303fc3b8df13e63888d0dcfed56860ca91d2a86501f67168d32c3ff，在本案21张照片中精确哈希出现次数为1；感知指纹筛查未见近似重复。；结构化核验引用了不存在的照片文件：核销资料-诚成26年4月【堆头20家】/堆头照片/4.新桥百佳华.jpg</t>
        </is>
      </c>
      <c r="N7" s="4" t="inlineStr">
        <is>
          <t>如制度要求原始定位证明，补充含EXIF/GPS的原始未压缩照片。；补齐缺失原始照片文件</t>
        </is>
      </c>
    </row>
    <row r="8">
      <c r="A8" s="4" t="n">
        <v>5</v>
      </c>
      <c r="B8" s="4" t="inlineStr">
        <is>
          <t>华都超市（东坑大道北店）</t>
        </is>
      </c>
      <c r="C8" s="4" t="inlineStr">
        <is>
          <t>核销资料-诚成26年4月【堆头20家】/堆头照片/5.华都超市(东坑大道北店).jpg</t>
        </is>
      </c>
      <c r="D8" s="4" t="n">
        <v>1</v>
      </c>
      <c r="E8" s="4" t="inlineStr">
        <is>
          <t>2026-04-02</t>
        </is>
      </c>
      <c r="F8" s="4" t="inlineStr">
        <is>
          <t>东莞市·华都超市(东坑大道北店)</t>
        </is>
      </c>
      <c r="G8" s="4" t="inlineStr">
        <is>
          <t>是</t>
        </is>
      </c>
      <c r="H8" s="4" t="inlineStr">
        <is>
          <t>是</t>
        </is>
      </c>
      <c r="I8" s="4" t="inlineStr">
        <is>
          <t>是</t>
        </is>
      </c>
      <c r="J8" s="4" t="inlineStr">
        <is>
          <t>未发现</t>
        </is>
      </c>
      <c r="K8" s="7" t="inlineStr">
        <is>
          <t>补证</t>
        </is>
      </c>
      <c r="L8" s="6">
        <f>IF(K8="通过",1000,0)</f>
        <v/>
      </c>
      <c r="M8" s="4" t="inlineStr">
        <is>
          <t>画面可见参半产品在多层岛柜上成组、多列陈列，至少4纵陈列特征清晰。；JPEG文件EXIF为空；日期和地点只来自画面内可见水印，未由EXIF/GPS独立验证。；文件SHA-256=61e7f18669fe68e0686638d9bf53e6e488e8ce9ccb78192cdb6647915337dad0，在本案21张照片中精确哈希出现次数为1；感知指纹筛查未见近似重复。；结构化核验引用了不存在的照片文件：核销资料-诚成26年4月【堆头20家】/堆头照片/5.华都超市(东坑大道北店).jpg</t>
        </is>
      </c>
      <c r="N8" s="4" t="inlineStr">
        <is>
          <t>如制度要求原始定位证明，补充含EXIF/GPS的原始未压缩照片。；补齐缺失原始照片文件</t>
        </is>
      </c>
    </row>
    <row r="9">
      <c r="A9" s="4" t="n">
        <v>6</v>
      </c>
      <c r="B9" s="4" t="inlineStr">
        <is>
          <t>金大福（东浦金正和总店）</t>
        </is>
      </c>
      <c r="C9" s="4" t="inlineStr">
        <is>
          <t>核销资料-诚成26年4月【堆头20家】/堆头照片/6.东浦金正和.jpg</t>
        </is>
      </c>
      <c r="D9" s="4" t="n">
        <v>1</v>
      </c>
      <c r="E9" s="4" t="n"/>
      <c r="F9" s="4" t="n"/>
      <c r="G9" s="4" t="inlineStr">
        <is>
          <t>无法判断</t>
        </is>
      </c>
      <c r="H9" s="4" t="inlineStr">
        <is>
          <t>弱（仅文件名）</t>
        </is>
      </c>
      <c r="I9" s="4" t="inlineStr">
        <is>
          <t>无法判断</t>
        </is>
      </c>
      <c r="J9" s="4" t="inlineStr">
        <is>
          <t>未发现</t>
        </is>
      </c>
      <c r="K9" s="7" t="inlineStr">
        <is>
          <t>补证</t>
        </is>
      </c>
      <c r="L9" s="6">
        <f>IF(K9="通过",1000,0)</f>
        <v/>
      </c>
      <c r="M9" s="4" t="inlineStr">
        <is>
          <t>画面可见参半3+2礼盒及竖盒放在红色促销台上，但单一正面角度无法可靠确认1平方米占地，且4纵陈列计数不够明确。；缺少任何画面内日期和门店/地点水印。；JPEG文件EXIF为空，无法从元数据独立验证拍摄日期或地点。；文件SHA-256=5443f87d47fe6646e5da357f0e53a41c8934f58255619fe749eae9b7ad9596a0，在本案21张照片中精确哈希出现次数为1；感知指纹筛查未见近似重复。；结构化核验引用了不存在的照片文件：核销资料-诚成26年4月【堆头20家】/堆头照片/6.东浦金正和.jpg</t>
        </is>
      </c>
      <c r="N9" s="4" t="inlineStr">
        <is>
          <t>补充活动期内带可见日期、完整门店名称/地点水印的现场全景原图。；补充能清楚证明1平方米占地或至少4纵陈列的宽角度照片/尺寸标识。；补齐缺失原始照片文件</t>
        </is>
      </c>
    </row>
    <row r="10">
      <c r="A10" s="4" t="n">
        <v>7</v>
      </c>
      <c r="B10" s="4" t="inlineStr">
        <is>
          <t>古原千禧（U·ONE 优城店）</t>
        </is>
      </c>
      <c r="C10" s="4" t="inlineStr">
        <is>
          <t>核销资料-诚成26年4月【堆头20家】/堆头照片/7.宝安优城店.jpg</t>
        </is>
      </c>
      <c r="D10" s="4" t="n">
        <v>1</v>
      </c>
      <c r="E10" s="4" t="inlineStr">
        <is>
          <t>2026-04-03</t>
        </is>
      </c>
      <c r="F10" s="4" t="inlineStr">
        <is>
          <t>深圳市·古原千禧(优城店)</t>
        </is>
      </c>
      <c r="G10" s="4" t="inlineStr">
        <is>
          <t>是</t>
        </is>
      </c>
      <c r="H10" s="4" t="inlineStr">
        <is>
          <t>基本匹配</t>
        </is>
      </c>
      <c r="I10" s="4" t="inlineStr">
        <is>
          <t>是</t>
        </is>
      </c>
      <c r="J10" s="4" t="inlineStr">
        <is>
          <t>未发现</t>
        </is>
      </c>
      <c r="K10" s="7" t="inlineStr">
        <is>
          <t>补证</t>
        </is>
      </c>
      <c r="L10" s="6">
        <f>IF(K10="通过",1000,0)</f>
        <v/>
      </c>
      <c r="M10" s="4" t="inlineStr">
        <is>
          <t>多层端架上参半礼盒/盒装产品有多列、多层陈列，可见至少4纵陈列特征。；水印省略合同中的“U·ONE”。；JPEG文件EXIF为空；日期和地点只来自画面内可见水印，未由EXIF/GPS独立验证。；文件SHA-256=80ff9c92a5eb1b780e9b0002a5d99c5239d71f592406992133c1e49e77e5834f，在本案21张照片中精确哈希出现次数为1；感知指纹筛查未见近似重复。；结构化核验引用了不存在的照片文件：核销资料-诚成26年4月【堆头20家】/堆头照片/7.宝安优城店.jpg</t>
        </is>
      </c>
      <c r="N10" s="4" t="inlineStr">
        <is>
          <t>如需严格名称一致，补充U·ONE优城店与水印“古原千禧(优城店)”的门店编码或地址映射。；补齐缺失原始照片文件</t>
        </is>
      </c>
    </row>
    <row r="11">
      <c r="A11" s="4" t="n">
        <v>8</v>
      </c>
      <c r="B11" s="4" t="inlineStr">
        <is>
          <t>虎门家家欣</t>
        </is>
      </c>
      <c r="C11" s="4" t="inlineStr">
        <is>
          <t>核销资料-诚成26年4月【堆头20家】/堆头照片/8.虎门赤岗家家欣.jpg</t>
        </is>
      </c>
      <c r="D11" s="4" t="n">
        <v>1</v>
      </c>
      <c r="E11" s="4" t="inlineStr">
        <is>
          <t>2026-04-30</t>
        </is>
      </c>
      <c r="F11" s="4" t="inlineStr">
        <is>
          <t>东莞市·赤岗家家欣商场</t>
        </is>
      </c>
      <c r="G11" s="4" t="inlineStr">
        <is>
          <t>是</t>
        </is>
      </c>
      <c r="H11" s="4" t="inlineStr">
        <is>
          <t>基本匹配</t>
        </is>
      </c>
      <c r="I11" s="4" t="inlineStr">
        <is>
          <t>是</t>
        </is>
      </c>
      <c r="J11" s="4" t="inlineStr">
        <is>
          <t>未发现</t>
        </is>
      </c>
      <c r="K11" s="7" t="inlineStr">
        <is>
          <t>补证</t>
        </is>
      </c>
      <c r="L11" s="6">
        <f>IF(K11="通过",1000,0)</f>
        <v/>
      </c>
      <c r="M11" s="4" t="inlineStr">
        <is>
          <t>多层端架上参半礼盒至少形成4个纵向陈列位。；原图仅600×800，且未提供赤岗与合同“虎门”分店的地址关系。；JPEG文件EXIF为空；日期和地点只来自画面内可见水印，未由EXIF/GPS独立验证。；文件SHA-256=a397af48c29cc108f54a66ac21d7aec414e79f20838ee3bb2e4851619d1f9e0a，在本案21张照片中精确哈希出现次数为1；感知指纹筛查未见近似重复。；结构化核验引用了不存在的照片文件：核销资料-诚成26年4月【堆头20家】/堆头照片/8.虎门赤岗家家欣.jpg</t>
        </is>
      </c>
      <c r="N11" s="4" t="inlineStr">
        <is>
          <t>补充“虎门家家欣”与“赤岗家家欣商场”的地址、门店编码或组织关系证明。；补齐缺失原始照片文件</t>
        </is>
      </c>
    </row>
    <row r="12">
      <c r="A12" s="4" t="n">
        <v>9</v>
      </c>
      <c r="B12" s="4" t="inlineStr">
        <is>
          <t>花都宜多</t>
        </is>
      </c>
      <c r="C12" s="4" t="inlineStr">
        <is>
          <t>核销资料-诚成26年4月【堆头20家】/堆头照片/9.花都宜多.jpg</t>
        </is>
      </c>
      <c r="D12" s="4" t="n">
        <v>1</v>
      </c>
      <c r="E12" s="4" t="inlineStr">
        <is>
          <t>2026-04-30</t>
        </is>
      </c>
      <c r="F12" s="4" t="inlineStr">
        <is>
          <t>广东省广州市花都区炭步镇·炭步宜多百货</t>
        </is>
      </c>
      <c r="G12" s="4" t="inlineStr">
        <is>
          <t>是</t>
        </is>
      </c>
      <c r="H12" s="4" t="inlineStr">
        <is>
          <t>基本匹配</t>
        </is>
      </c>
      <c r="I12" s="4" t="inlineStr">
        <is>
          <t>是</t>
        </is>
      </c>
      <c r="J12" s="4" t="inlineStr">
        <is>
          <t>未发现</t>
        </is>
      </c>
      <c r="K12" s="7" t="inlineStr">
        <is>
          <t>补证</t>
        </is>
      </c>
      <c r="L12" s="6">
        <f>IF(K12="通过",1000,0)</f>
        <v/>
      </c>
      <c r="M12" s="4" t="inlineStr">
        <is>
          <t>画面为大型多面岛柜，参半牙膏、礼盒等产品多层多列陈列，可见面积/纵列明显超过最低特征。；合同简称未列“炭步”，未附门店编码。；JPEG文件EXIF为空；日期和地点只来自画面内可见水印，未由EXIF/GPS独立验证。；文件SHA-256=37a3bb4647855bff6147f370f02897142fb739c3b1f015546c9701327ca79c87，在本案21张照片中精确哈希出现次数为1；感知指纹筛查未见近似重复。；结构化核验引用了不存在的照片文件：核销资料-诚成26年4月【堆头20家】/堆头照片/9.花都宜多.jpg</t>
        </is>
      </c>
      <c r="N12" s="4" t="inlineStr">
        <is>
          <t>补充“花都宜多”与“炭步宜多百货”的门店编码或地址映射。；补齐缺失原始照片文件</t>
        </is>
      </c>
    </row>
    <row r="13">
      <c r="A13" s="4" t="n">
        <v>10</v>
      </c>
      <c r="B13" s="4" t="inlineStr">
        <is>
          <t>挺拇指生活超市（横沥店）</t>
        </is>
      </c>
      <c r="C13" s="4" t="inlineStr">
        <is>
          <t>核销资料-诚成26年4月【堆头20家】/堆头照片/10-1挺拇指生活超市(横沥店).jpg、核销资料-诚成26年4月【堆头20家】/堆头照片/10-2挺拇指生活超市(横沥店).jpg</t>
        </is>
      </c>
      <c r="D13" s="4" t="n">
        <v>2</v>
      </c>
      <c r="E13" s="4" t="inlineStr">
        <is>
          <t>2026-04-30</t>
        </is>
      </c>
      <c r="F13" s="4" t="inlineStr">
        <is>
          <t>东莞市·南铭购物乐园</t>
        </is>
      </c>
      <c r="G13" s="4" t="inlineStr">
        <is>
          <t>是</t>
        </is>
      </c>
      <c r="H13" s="4" t="inlineStr">
        <is>
          <t>不一致</t>
        </is>
      </c>
      <c r="I13" s="4" t="inlineStr">
        <is>
          <t>是</t>
        </is>
      </c>
      <c r="J13" s="4" t="inlineStr">
        <is>
          <t>未发现</t>
        </is>
      </c>
      <c r="K13" s="7" t="inlineStr">
        <is>
          <t>补证</t>
        </is>
      </c>
      <c r="L13" s="6">
        <f>IF(K13="通过",1000,0)</f>
        <v/>
      </c>
      <c r="M13" s="4" t="inlineStr">
        <is>
          <t>10-1为多层端架全景，10-2为另一侧近景；合并观察可见参半产品多层多列陈列，至少4纵陈列特征明确。；可见地点名称与合同门店名称不同，未提供商场入驻/更名映射。；JPEG文件EXIF为空；日期和地点只来自画面内可见水印，未由EXIF/GPS独立验证。；10-1挺拇指生活超市(横沥店).jpg SHA-256=f12dd735b31b0e3be209767b443a5dde76af047139821839e1c380befa2f17ba、精确哈希出现次数1；10-2挺拇指生活超市(横沥店).jpg SHA-256=1d4f8b92c71131ea2dbe09e06cff7496a82afca0ba4d7fced7ab272948670884、精确哈希出现次数1；两图内容不同，感知指纹筛查未见近似重复。；结构化核验引用了不存在的照片文件：核销资料-诚成26年4月【堆头20家】/堆头照片/10-1挺拇指生活超市(横沥店).jpg、核销资料-诚成26年4月【堆头20家】/堆头照片/10-2挺拇指生活超市(横沥店).jpg</t>
        </is>
      </c>
      <c r="N13" s="4" t="inlineStr">
        <is>
          <t>补充“挺拇指生活超市(横沥店)”位于或更名自“南铭购物乐园”的正式地址/门店映射，或提供带合同门店名称水印的现场照片。；补齐缺失原始照片文件</t>
        </is>
      </c>
    </row>
    <row r="14">
      <c r="A14" s="4" t="n">
        <v>11</v>
      </c>
      <c r="B14" s="4" t="inlineStr">
        <is>
          <t>人人购物广场荟和二店</t>
        </is>
      </c>
      <c r="C14" s="4" t="inlineStr">
        <is>
          <t>核销资料-诚成26年4月【堆头20家】/堆头照片/11.人人购物荟和超市.jpg</t>
        </is>
      </c>
      <c r="D14" s="4" t="n">
        <v>1</v>
      </c>
      <c r="E14" s="4" t="inlineStr">
        <is>
          <t>2026-04-30</t>
        </is>
      </c>
      <c r="F14" s="4" t="inlineStr">
        <is>
          <t>深圳市·荟和超市(人人购物同乐店)</t>
        </is>
      </c>
      <c r="G14" s="4" t="inlineStr">
        <is>
          <t>是</t>
        </is>
      </c>
      <c r="H14" s="4" t="inlineStr">
        <is>
          <t>不一致</t>
        </is>
      </c>
      <c r="I14" s="4" t="inlineStr">
        <is>
          <t>是</t>
        </is>
      </c>
      <c r="J14" s="4" t="inlineStr">
        <is>
          <t>未发现</t>
        </is>
      </c>
      <c r="K14" s="7" t="inlineStr">
        <is>
          <t>补证</t>
        </is>
      </c>
      <c r="L14" s="6">
        <f>IF(K14="通过",1000,0)</f>
        <v/>
      </c>
      <c r="M14" s="4" t="inlineStr">
        <is>
          <t>大型多层端架上参半产品有多列多层陈列，至少4纵陈列特征明确。；水印指向“同乐店”，合同指向“二店”。；JPEG文件EXIF为空；日期和地点只来自画面内可见水印，未由EXIF/GPS独立验证。；文件SHA-256=7cf34a44ba05a348179771b0c36be20c19f6a0a76fb0c72fc6742c1070011f87，在本案21张照片中精确哈希出现次数为1；感知指纹筛查未见近似重复。；结构化核验引用了不存在的照片文件：核销资料-诚成26年4月【堆头20家】/堆头照片/11.人人购物荟和超市.jpg</t>
        </is>
      </c>
      <c r="N14" s="4" t="inlineStr">
        <is>
          <t>补充“荟和二店”与“人人购物同乐店”的门店编码、地址或更名证明，或提供合同门店对应照片。；补齐缺失原始照片文件</t>
        </is>
      </c>
    </row>
    <row r="15">
      <c r="A15" s="4" t="n">
        <v>12</v>
      </c>
      <c r="B15" s="4" t="inlineStr">
        <is>
          <t>三乐购物广场（森扬商业广场店）</t>
        </is>
      </c>
      <c r="C15" s="4" t="inlineStr">
        <is>
          <t>核销资料-诚成26年4月【堆头20家】/堆头照片/12.三乐购物广场(森扬商业广场店).jpg</t>
        </is>
      </c>
      <c r="D15" s="4" t="n">
        <v>1</v>
      </c>
      <c r="E15" s="4" t="inlineStr">
        <is>
          <t>2026-04-30</t>
        </is>
      </c>
      <c r="F15" s="4" t="inlineStr">
        <is>
          <t>东莞市·三乐购物广场(森扬商业广场店)</t>
        </is>
      </c>
      <c r="G15" s="4" t="inlineStr">
        <is>
          <t>是</t>
        </is>
      </c>
      <c r="H15" s="4" t="inlineStr">
        <is>
          <t>是</t>
        </is>
      </c>
      <c r="I15" s="4" t="inlineStr">
        <is>
          <t>是</t>
        </is>
      </c>
      <c r="J15" s="4" t="inlineStr">
        <is>
          <t>未发现</t>
        </is>
      </c>
      <c r="K15" s="7" t="inlineStr">
        <is>
          <t>补证</t>
        </is>
      </c>
      <c r="L15" s="6">
        <f>IF(K15="通过",1000,0)</f>
        <v/>
      </c>
      <c r="M15" s="4" t="inlineStr">
        <is>
          <t>参半产品在宽幅多层陈列柜上多列摆放，上方另有堆叠，至少4纵陈列特征明确。；JPEG文件EXIF为空；日期和地点只来自画面内可见水印，未由EXIF/GPS独立验证。；文件SHA-256=817e1b01120475a5f72ab39bce2334a3f0c5d2d7c66d02b0d02e648e70bca0e9，在本案21张照片中精确哈希出现次数为1；感知指纹筛查未见近似重复。；结构化核验引用了不存在的照片文件：核销资料-诚成26年4月【堆头20家】/堆头照片/12.三乐购物广场(森扬商业广场店).jpg</t>
        </is>
      </c>
      <c r="N15" s="4" t="inlineStr">
        <is>
          <t>如制度要求原始定位证明，补充含EXIF/GPS的原始未压缩照片。；补齐缺失原始照片文件</t>
        </is>
      </c>
    </row>
    <row r="16">
      <c r="A16" s="4" t="n">
        <v>13</v>
      </c>
      <c r="B16" s="4" t="inlineStr">
        <is>
          <t>沙井九龙</t>
        </is>
      </c>
      <c r="C16" s="4" t="inlineStr">
        <is>
          <t>核销资料-诚成26年4月【堆头20家】/堆头照片/13.沙井九龙.jpg</t>
        </is>
      </c>
      <c r="D16" s="4" t="n">
        <v>1</v>
      </c>
      <c r="E16" s="4" t="inlineStr">
        <is>
          <t>2026-04-29</t>
        </is>
      </c>
      <c r="F16" s="4" t="inlineStr">
        <is>
          <t>深圳市·九龙购物中心(宝安沙井店)</t>
        </is>
      </c>
      <c r="G16" s="4" t="inlineStr">
        <is>
          <t>是</t>
        </is>
      </c>
      <c r="H16" s="4" t="inlineStr">
        <is>
          <t>基本匹配</t>
        </is>
      </c>
      <c r="I16" s="4" t="inlineStr">
        <is>
          <t>是</t>
        </is>
      </c>
      <c r="J16" s="4" t="inlineStr">
        <is>
          <t>未发现</t>
        </is>
      </c>
      <c r="K16" s="7" t="inlineStr">
        <is>
          <t>补证</t>
        </is>
      </c>
      <c r="L16" s="6">
        <f>IF(K16="通过",1000,0)</f>
        <v/>
      </c>
      <c r="M16" s="4" t="inlineStr">
        <is>
          <t>大型岛柜上参半牙膏多层多列陈列，可见面积及纵列均明显达到合同陈列特征。；合同为简称，未列完整购物中心名称。；JPEG文件EXIF为空；日期和地点只来自画面内可见水印，未由EXIF/GPS独立验证。；文件SHA-256=bea6157436ef7f0a45babca793b9fc67e06ac2beacd1b9eae36c44097b0e3888，在本案21张照片中精确哈希出现次数为1；感知指纹筛查未见近似重复。；结构化核验引用了不存在的照片文件：核销资料-诚成26年4月【堆头20家】/堆头照片/13.沙井九龙.jpg</t>
        </is>
      </c>
      <c r="N16" s="4" t="inlineStr">
        <is>
          <t>如需严格名称一致，补充“沙井九龙”与“九龙购物中心(宝安沙井店)”的门店编码或地址映射。；补齐缺失原始照片文件</t>
        </is>
      </c>
    </row>
    <row r="17">
      <c r="A17" s="4" t="n">
        <v>14</v>
      </c>
      <c r="B17" s="4" t="inlineStr">
        <is>
          <t>润家连锁超市（美联购物中心店）</t>
        </is>
      </c>
      <c r="C17" s="4" t="inlineStr">
        <is>
          <t>核销资料-诚成26年4月【堆头20家】/堆头照片/14.润家连锁超市(美联购物中心店).jpg</t>
        </is>
      </c>
      <c r="D17" s="4" t="n">
        <v>1</v>
      </c>
      <c r="E17" s="4" t="inlineStr">
        <is>
          <t>2026-04-30</t>
        </is>
      </c>
      <c r="F17" s="4" t="inlineStr">
        <is>
          <t>深圳市宝安区·深圳紫云快捷宾馆</t>
        </is>
      </c>
      <c r="G17" s="4" t="inlineStr">
        <is>
          <t>是</t>
        </is>
      </c>
      <c r="H17" s="4" t="inlineStr">
        <is>
          <t>不一致</t>
        </is>
      </c>
      <c r="I17" s="4" t="inlineStr">
        <is>
          <t>是</t>
        </is>
      </c>
      <c r="J17" s="4" t="inlineStr">
        <is>
          <t>未发现</t>
        </is>
      </c>
      <c r="K17" s="7" t="inlineStr">
        <is>
          <t>补证</t>
        </is>
      </c>
      <c r="L17" s="6">
        <f>IF(K17="通过",1000,0)</f>
        <v/>
      </c>
      <c r="M17" s="4" t="inlineStr">
        <is>
          <t>画面中参半礼盒/牙膏在多层货架上形成多列陈列，至少4纵陈列特征明确。；可见地点指向宾馆，与合同门店名称冲突。；JPEG文件EXIF为空；日期和地点只来自画面内可见水印，未由EXIF/GPS独立验证。；文件SHA-256=0589b66788746499b68c9813b97ef042c2d1a239cd70be63056d57f4a9587fe5，在本案21张照片中精确哈希出现次数为1；感知指纹筛查未见近似重复。；结构化核验引用了不存在的照片文件：核销资料-诚成26年4月【堆头20家】/堆头照片/14.润家连锁超市(美联购物中心店).jpg</t>
        </is>
      </c>
      <c r="N17" s="4" t="inlineStr">
        <is>
          <t>提供“深圳紫云快捷宾馆”定位与润家连锁超市(美联购物中心店)同址的权威地址证明，或重拍带合同门店地点水印的现场照片。；补齐缺失原始照片文件</t>
        </is>
      </c>
    </row>
    <row r="18">
      <c r="A18" s="4" t="n">
        <v>15</v>
      </c>
      <c r="B18" s="4" t="inlineStr">
        <is>
          <t>百佳华（石岩店）</t>
        </is>
      </c>
      <c r="C18" s="4" t="inlineStr">
        <is>
          <t>核销资料-诚成26年4月【堆头20家】/堆头照片/15。石岩百佳华.jpg</t>
        </is>
      </c>
      <c r="D18" s="4" t="n">
        <v>1</v>
      </c>
      <c r="E18" s="4" t="inlineStr">
        <is>
          <t>2026-04-30</t>
        </is>
      </c>
      <c r="F18" s="4" t="inlineStr">
        <is>
          <t>广东省深圳市宝安区石岩街道佳华豪苑</t>
        </is>
      </c>
      <c r="G18" s="4" t="inlineStr">
        <is>
          <t>是</t>
        </is>
      </c>
      <c r="H18" s="4" t="inlineStr">
        <is>
          <t>不一致</t>
        </is>
      </c>
      <c r="I18" s="4" t="inlineStr">
        <is>
          <t>是</t>
        </is>
      </c>
      <c r="J18" s="4" t="inlineStr">
        <is>
          <t>未发现</t>
        </is>
      </c>
      <c r="K18" s="7" t="inlineStr">
        <is>
          <t>补证</t>
        </is>
      </c>
      <c r="L18" s="6">
        <f>IF(K18="通过",1000,0)</f>
        <v/>
      </c>
      <c r="M18" s="4" t="inlineStr">
        <is>
          <t>虽画面略模糊，但多层端架上参半礼盒/盒装产品至少4纵陈列仍可辨。；可见地点是“佳华豪苑”，未提供其与百佳华石岩店同址的证据。；JPEG文件EXIF为空；日期和地点只来自画面内可见水印，未由EXIF/GPS独立验证。；文件SHA-256=9845f5c8c808e139ae93bf4a163372cf5e54e7aeb39a8dfbfa1d0aa47e5dfca8，在本案21张照片中精确哈希出现次数为1；感知指纹筛查未见近似重复。；结构化核验引用了不存在的照片文件：核销资料-诚成26年4月【堆头20家】/堆头照片/15。石岩百佳华.jpg</t>
        </is>
      </c>
      <c r="N18" s="4" t="inlineStr">
        <is>
          <t>补充百佳华(石岩店)与“佳华豪苑”的权威地址/入驻关系证明，或提供带完整门店名地点水印的清晰原图。；补齐缺失原始照片文件</t>
        </is>
      </c>
    </row>
    <row r="19">
      <c r="A19" s="4" t="n">
        <v>16</v>
      </c>
      <c r="B19" s="4" t="inlineStr">
        <is>
          <t>田心金正和</t>
        </is>
      </c>
      <c r="C19" s="4" t="inlineStr">
        <is>
          <t>核销资料-诚成26年4月【堆头20家】/堆头照片/16.田心金正和.jpg</t>
        </is>
      </c>
      <c r="D19" s="4" t="n">
        <v>1</v>
      </c>
      <c r="E19" s="4" t="inlineStr">
        <is>
          <t>2026-04-30</t>
        </is>
      </c>
      <c r="F19" s="4" t="inlineStr">
        <is>
          <t>东莞市·金正和百货(田心文化商业广场店)</t>
        </is>
      </c>
      <c r="G19" s="4" t="inlineStr">
        <is>
          <t>是</t>
        </is>
      </c>
      <c r="H19" s="4" t="inlineStr">
        <is>
          <t>是</t>
        </is>
      </c>
      <c r="I19" s="4" t="inlineStr">
        <is>
          <t>是</t>
        </is>
      </c>
      <c r="J19" s="4" t="inlineStr">
        <is>
          <t>未发现</t>
        </is>
      </c>
      <c r="K19" s="7" t="inlineStr">
        <is>
          <t>补证</t>
        </is>
      </c>
      <c r="L19" s="6">
        <f>IF(K19="通过",1000,0)</f>
        <v/>
      </c>
      <c r="M19" s="4" t="inlineStr">
        <is>
          <t>大型多面岛柜上参半礼盒、牙膏等多层多列陈列，可见面积/纵列明显达到合同陈列特征。；JPEG文件EXIF为空；日期和地点只来自画面内可见水印，未由EXIF/GPS独立验证。；文件SHA-256=f00f97dc46a52568db5b292f7edb26bedfbc0d6f786e746acea6a56940a7c500，在本案21张照片中精确哈希出现次数为1；感知指纹筛查未见近似重复。；结构化核验引用了不存在的照片文件：核销资料-诚成26年4月【堆头20家】/堆头照片/16.田心金正和.jpg</t>
        </is>
      </c>
      <c r="N19" s="4" t="inlineStr">
        <is>
          <t>如制度要求原始定位证明，补充含EXIF/GPS的原始未压缩照片。；补齐缺失原始照片文件</t>
        </is>
      </c>
    </row>
    <row r="20">
      <c r="A20" s="4" t="n">
        <v>17</v>
      </c>
      <c r="B20" s="4" t="inlineStr">
        <is>
          <t>荟和超市（莹展荟店）</t>
        </is>
      </c>
      <c r="C20" s="4" t="inlineStr">
        <is>
          <t>核销资料-诚成26年4月【堆头20家】/堆头照片/17·荟和超市(莹展荟店).jpg</t>
        </is>
      </c>
      <c r="D20" s="4" t="n">
        <v>1</v>
      </c>
      <c r="E20" s="4" t="inlineStr">
        <is>
          <t>2026-04-30</t>
        </is>
      </c>
      <c r="F20" s="4" t="inlineStr">
        <is>
          <t>深圳市·荟和超市(莹展荟店)</t>
        </is>
      </c>
      <c r="G20" s="4" t="inlineStr">
        <is>
          <t>是</t>
        </is>
      </c>
      <c r="H20" s="4" t="inlineStr">
        <is>
          <t>是</t>
        </is>
      </c>
      <c r="I20" s="4" t="inlineStr">
        <is>
          <t>是</t>
        </is>
      </c>
      <c r="J20" s="4" t="inlineStr">
        <is>
          <t>未发现</t>
        </is>
      </c>
      <c r="K20" s="7" t="inlineStr">
        <is>
          <t>补证</t>
        </is>
      </c>
      <c r="L20" s="6">
        <f>IF(K20="通过",1000,0)</f>
        <v/>
      </c>
      <c r="M20" s="4" t="inlineStr">
        <is>
          <t>大型多面岛柜上参半盒装产品多层多列陈列，可见面积/纵列明显达到合同陈列特征。；JPEG文件EXIF为空；日期和地点只来自画面内可见水印，未由EXIF/GPS独立验证。；文件SHA-256=c6a9ac8b3b620adf996334ec432e725c45b4e302c481354caa4959a97c6f1ef1，在本案21张照片中精确哈希出现次数为1；感知指纹筛查未见近似重复。；结构化核验引用了不存在的照片文件：核销资料-诚成26年4月【堆头20家】/堆头照片/17·荟和超市(莹展荟店).jpg</t>
        </is>
      </c>
      <c r="N20" s="4" t="inlineStr">
        <is>
          <t>如制度要求原始定位证明，补充含EXIF/GPS的原始未压缩照片。；补齐缺失原始照片文件</t>
        </is>
      </c>
    </row>
    <row r="21">
      <c r="A21" s="4" t="n">
        <v>18</v>
      </c>
      <c r="B21" s="4" t="inlineStr">
        <is>
          <t>三乐购物广场（坦洲店）</t>
        </is>
      </c>
      <c r="C21" s="4" t="inlineStr">
        <is>
          <t>核销资料-诚成26年4月【堆头20家】/堆头照片/18.三乐购物广场(坦洲店).jpg</t>
        </is>
      </c>
      <c r="D21" s="4" t="n">
        <v>1</v>
      </c>
      <c r="E21" s="4" t="inlineStr">
        <is>
          <t>2026-04-06</t>
        </is>
      </c>
      <c r="F21" s="4" t="inlineStr">
        <is>
          <t>中山市·三乐购物广场(坦洲店)</t>
        </is>
      </c>
      <c r="G21" s="4" t="inlineStr">
        <is>
          <t>是</t>
        </is>
      </c>
      <c r="H21" s="4" t="inlineStr">
        <is>
          <t>是</t>
        </is>
      </c>
      <c r="I21" s="4" t="inlineStr">
        <is>
          <t>是</t>
        </is>
      </c>
      <c r="J21" s="4" t="inlineStr">
        <is>
          <t>未发现</t>
        </is>
      </c>
      <c r="K21" s="7" t="inlineStr">
        <is>
          <t>补证</t>
        </is>
      </c>
      <c r="L21" s="6">
        <f>IF(K21="通过",1000,0)</f>
        <v/>
      </c>
      <c r="M21" s="4" t="inlineStr">
        <is>
          <t>多层端架上参半礼盒成组陈列，画面下层可见至少4个纵向陈列位。；JPEG文件EXIF为空；日期和地点只来自画面内可见水印，未由EXIF/GPS独立验证。；文件SHA-256=61f0c8113bfbfafd9cc02a2ae69881cb8cc456e911c32c78ba618ab3467153fe，在本案21张照片中精确哈希出现次数为1；感知指纹筛查未见近似重复。；结构化核验引用了不存在的照片文件：核销资料-诚成26年4月【堆头20家】/堆头照片/18.三乐购物广场(坦洲店).jpg</t>
        </is>
      </c>
      <c r="N21" s="4" t="inlineStr">
        <is>
          <t>如制度要求原始定位证明，补充含EXIF/GPS的原始未压缩照片。；补齐缺失原始照片文件</t>
        </is>
      </c>
    </row>
    <row r="22">
      <c r="A22" s="4" t="n">
        <v>19</v>
      </c>
      <c r="B22" s="4" t="inlineStr">
        <is>
          <t>大康惠福源商业广场</t>
        </is>
      </c>
      <c r="C22" s="4" t="inlineStr">
        <is>
          <t>核销资料-诚成26年4月【堆头20家】/堆头照片/19.福源大康惠.jpg</t>
        </is>
      </c>
      <c r="D22" s="4" t="n">
        <v>1</v>
      </c>
      <c r="E22" s="4" t="inlineStr">
        <is>
          <t>2026-04-30</t>
        </is>
      </c>
      <c r="F22" s="4" t="inlineStr">
        <is>
          <t>东莞市·福源商业广场</t>
        </is>
      </c>
      <c r="G22" s="4" t="inlineStr">
        <is>
          <t>是</t>
        </is>
      </c>
      <c r="H22" s="4" t="inlineStr">
        <is>
          <t>基本匹配</t>
        </is>
      </c>
      <c r="I22" s="4" t="inlineStr">
        <is>
          <t>是</t>
        </is>
      </c>
      <c r="J22" s="4" t="inlineStr">
        <is>
          <t>未发现</t>
        </is>
      </c>
      <c r="K22" s="7" t="inlineStr">
        <is>
          <t>补证</t>
        </is>
      </c>
      <c r="L22" s="6">
        <f>IF(K22="通过",1000,0)</f>
        <v/>
      </c>
      <c r="M22" s="4" t="inlineStr">
        <is>
          <t>大型四面岛柜上参半牙膏/礼盒多层多列陈列，可见面积与纵列明显达到合同陈列特征。；水印为缩略名称，未附正式门店名称映射。；JPEG文件EXIF为空；日期和地点只来自画面内可见水印，未由EXIF/GPS独立验证。；文件SHA-256=a83b7852588f47ff9fc8c43791eab025aa930eb7efa97d4da13cd54024be754c，在本案21张照片中精确哈希出现次数为1；感知指纹筛查未见近似重复。；结构化核验引用了不存在的照片文件：核销资料-诚成26年4月【堆头20家】/堆头照片/19.福源大康惠.jpg</t>
        </is>
      </c>
      <c r="N22" s="4" t="inlineStr">
        <is>
          <t>补充“大康惠福源商业广场”与“福源商业广场”的门店/地址映射。；补齐缺失原始照片文件</t>
        </is>
      </c>
    </row>
    <row r="23">
      <c r="A23" s="4" t="n">
        <v>20</v>
      </c>
      <c r="B23" s="4" t="inlineStr">
        <is>
          <t>好多宝精选超市（龙眼市场店）</t>
        </is>
      </c>
      <c r="C23" s="4" t="inlineStr">
        <is>
          <t>核销资料-诚成26年4月【堆头20家】/堆头照片/20.好多宝精选超市(龙眼市场店).jpg</t>
        </is>
      </c>
      <c r="D23" s="4" t="n">
        <v>1</v>
      </c>
      <c r="E23" s="4" t="inlineStr">
        <is>
          <t>2026-04-02</t>
        </is>
      </c>
      <c r="F23" s="4" t="inlineStr">
        <is>
          <t>龙眼市场(龙眼路)</t>
        </is>
      </c>
      <c r="G23" s="4" t="inlineStr">
        <is>
          <t>是</t>
        </is>
      </c>
      <c r="H23" s="4" t="inlineStr">
        <is>
          <t>基本匹配</t>
        </is>
      </c>
      <c r="I23" s="4" t="inlineStr">
        <is>
          <t>是</t>
        </is>
      </c>
      <c r="J23" s="4" t="inlineStr">
        <is>
          <t>未发现</t>
        </is>
      </c>
      <c r="K23" s="7" t="inlineStr">
        <is>
          <t>补证</t>
        </is>
      </c>
      <c r="L23" s="6">
        <f>IF(K23="通过",1000,0)</f>
        <v/>
      </c>
      <c r="M23" s="4" t="inlineStr">
        <is>
          <t>多层端架上参半盒装产品至少形成4个纵向陈列位。；水印只证明龙眼市场地点，未直接显示合同门店品牌。；JPEG文件EXIF为空；日期和地点只来自画面内可见水印，未由EXIF/GPS独立验证。；文件SHA-256=a2bc6e9f7833a6b2dace149843649c6c2a6b5988e04def5a9bc64d4b2b8740fc，在本案21张照片中精确哈希出现次数为1；感知指纹筛查未见近似重复。；结构化核验引用了不存在的照片文件：核销资料-诚成26年4月【堆头20家】/堆头照片/20.好多宝精选超市(龙眼市场店).jpg</t>
        </is>
      </c>
      <c r="N23" s="4" t="inlineStr">
        <is>
          <t>补充好多宝精选超市(龙眼市场店)在“龙眼市场(龙眼路)”的门店编码、地址或入驻证明。；补齐缺失原始照片文件</t>
        </is>
      </c>
    </row>
    <row r="24">
      <c r="A24" s="12" t="inlineStr">
        <is>
          <t>合计</t>
        </is>
      </c>
      <c r="B24" s="12" t="n"/>
      <c r="C24" s="12" t="n"/>
      <c r="D24" s="13">
        <f>SUM(D4:D23)</f>
        <v/>
      </c>
      <c r="E24" s="12" t="n"/>
      <c r="F24" s="12" t="n"/>
      <c r="G24" s="12" t="n"/>
      <c r="H24" s="12" t="n"/>
      <c r="I24" s="12" t="n"/>
      <c r="J24" s="12" t="n"/>
      <c r="K24" s="12" t="n"/>
      <c r="L24" s="13">
        <f>SUM(L4:L23)</f>
        <v/>
      </c>
      <c r="M24" s="12" t="n"/>
      <c r="N24" s="12" t="n"/>
    </row>
  </sheetData>
  <autoFilter ref="A3:N24"/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5" customWidth="1" min="3" max="3"/>
    <col width="16" customWidth="1" min="4" max="4"/>
    <col width="17" customWidth="1" min="5" max="5"/>
    <col width="55" customWidth="1" min="6" max="6"/>
    <col width="12" customWidth="1" min="7" max="7"/>
    <col width="15" customWidth="1" min="8" max="8"/>
  </cols>
  <sheetData>
    <row r="1" ht="28" customHeight="1">
      <c r="A1" s="1" t="inlineStr">
        <is>
          <t>堆头核销：销售Excel完整性与明细检查</t>
        </is>
      </c>
    </row>
    <row r="2" ht="32" customHeight="1">
      <c r="A2" s="2" t="inlineStr">
        <is>
          <t>经销商汇总销售可证明活动期总体销售，但不能替代20家合同门店的逐店执行证据。</t>
        </is>
      </c>
    </row>
    <row r="3" ht="30" customHeight="1">
      <c r="A3" s="3" t="inlineStr">
        <is>
          <t>检查项</t>
        </is>
      </c>
      <c r="B3" s="3" t="inlineStr">
        <is>
          <t>结果</t>
        </is>
      </c>
      <c r="C3" s="3" t="inlineStr">
        <is>
          <t>来源/说明</t>
        </is>
      </c>
    </row>
    <row r="4">
      <c r="A4" s="4" t="inlineStr">
        <is>
          <t>客户</t>
        </is>
      </c>
      <c r="B4" s="4" t="inlineStr">
        <is>
          <t>东莞市诚成行供应链管理有限公司</t>
        </is>
      </c>
      <c r="C4" s="4" t="inlineStr">
        <is>
          <t>销售Excel</t>
        </is>
      </c>
    </row>
    <row r="5">
      <c r="A5" s="4" t="inlineStr">
        <is>
          <t>业务期间</t>
        </is>
      </c>
      <c r="B5" s="4" t="inlineStr">
        <is>
          <t>2026-04-01 至 2026-04-30</t>
        </is>
      </c>
      <c r="C5" s="4" t="inlineStr">
        <is>
          <t>销售Excel</t>
        </is>
      </c>
    </row>
    <row r="6">
      <c r="A6" s="4" t="inlineStr">
        <is>
          <t>SKU数量</t>
        </is>
      </c>
      <c r="B6" s="4" t="n">
        <v>36</v>
      </c>
      <c r="C6" s="4" t="inlineStr">
        <is>
          <t>有效明细行</t>
        </is>
      </c>
    </row>
    <row r="7">
      <c r="A7" s="4" t="inlineStr">
        <is>
          <t>销售数量</t>
        </is>
      </c>
      <c r="B7" s="4" t="n">
        <v>13744</v>
      </c>
      <c r="C7" s="4" t="inlineStr">
        <is>
          <t>数量列求和</t>
        </is>
      </c>
    </row>
    <row r="8">
      <c r="A8" s="4" t="inlineStr">
        <is>
          <t>零售金额</t>
        </is>
      </c>
      <c r="B8" s="4" t="n">
        <v>352032</v>
      </c>
      <c r="C8" s="4" t="inlineStr">
        <is>
          <t>缓存值可用时求和</t>
        </is>
      </c>
    </row>
    <row r="9">
      <c r="A9" s="4" t="inlineStr">
        <is>
          <t>门店级销售</t>
        </is>
      </c>
      <c r="B9" s="4" t="inlineStr">
        <is>
          <t>否</t>
        </is>
      </c>
      <c r="C9" s="4" t="inlineStr">
        <is>
          <t>当前文件为经销商汇总</t>
        </is>
      </c>
    </row>
    <row r="10">
      <c r="A10" s="4" t="inlineStr">
        <is>
          <t>外部链接公式</t>
        </is>
      </c>
      <c r="B10" s="4" t="n">
        <v>36</v>
      </c>
      <c r="C10" s="4" t="inlineStr">
        <is>
          <t>含[工作簿]引用的公式单元格</t>
        </is>
      </c>
    </row>
    <row r="12" ht="30" customHeight="1">
      <c r="A12" s="3" t="inlineStr">
        <is>
          <t>Excel行</t>
        </is>
      </c>
      <c r="B12" s="3" t="inlineStr">
        <is>
          <t>客户</t>
        </is>
      </c>
      <c r="C12" s="3" t="inlineStr">
        <is>
          <t>期间</t>
        </is>
      </c>
      <c r="D12" s="3" t="inlineStr">
        <is>
          <t>商品编码</t>
        </is>
      </c>
      <c r="E12" s="3" t="inlineStr">
        <is>
          <t>条码</t>
        </is>
      </c>
      <c r="F12" s="3" t="inlineStr">
        <is>
          <t>商品名称</t>
        </is>
      </c>
      <c r="G12" s="3" t="inlineStr">
        <is>
          <t>数量</t>
        </is>
      </c>
      <c r="H12" s="3" t="inlineStr">
        <is>
          <t>零售金额</t>
        </is>
      </c>
    </row>
    <row r="13">
      <c r="A13" s="4" t="n">
        <v>2</v>
      </c>
      <c r="B13" s="4" t="inlineStr">
        <is>
          <t>东莞市诚成行供应链管理有限公司</t>
        </is>
      </c>
      <c r="C13" s="4" t="inlineStr">
        <is>
          <t>2026-04-01 至 2026-04-30</t>
        </is>
      </c>
      <c r="D13" s="4" t="inlineStr">
        <is>
          <t>020260012</t>
        </is>
      </c>
      <c r="E13" s="4" t="inlineStr">
        <is>
          <t>6970356167334</t>
        </is>
      </c>
      <c r="F13" s="4" t="inlineStr">
        <is>
          <t>参半oralshark-SP1高山茉莉味科研白牙膏180g</t>
        </is>
      </c>
      <c r="G13" s="4" t="n">
        <v>812</v>
      </c>
      <c r="H13" s="4" t="n">
        <v>13722.8</v>
      </c>
    </row>
    <row r="14">
      <c r="A14" s="4" t="n">
        <v>3</v>
      </c>
      <c r="B14" s="4" t="inlineStr">
        <is>
          <t>东莞市诚成行供应链管理有限公司</t>
        </is>
      </c>
      <c r="C14" s="4" t="inlineStr">
        <is>
          <t>2026-04-01 至 2026-04-30</t>
        </is>
      </c>
      <c r="D14" s="4" t="inlineStr">
        <is>
          <t>020260011</t>
        </is>
      </c>
      <c r="E14" s="4" t="inlineStr">
        <is>
          <t>6970356167341</t>
        </is>
      </c>
      <c r="F14" s="4" t="inlineStr">
        <is>
          <t>参半oralshark-SP1玫瑰清茶味净清新牙膏180g</t>
        </is>
      </c>
      <c r="G14" s="4" t="n">
        <v>1099</v>
      </c>
      <c r="H14" s="4" t="n">
        <v>15166.2</v>
      </c>
    </row>
    <row r="15">
      <c r="A15" s="4" t="n">
        <v>4</v>
      </c>
      <c r="B15" s="4" t="inlineStr">
        <is>
          <t>东莞市诚成行供应链管理有限公司</t>
        </is>
      </c>
      <c r="C15" s="4" t="inlineStr">
        <is>
          <t>2026-04-01 至 2026-04-30</t>
        </is>
      </c>
      <c r="D15" s="4" t="inlineStr">
        <is>
          <t>020260009</t>
        </is>
      </c>
      <c r="E15" s="4" t="inlineStr">
        <is>
          <t>6970356164241</t>
        </is>
      </c>
      <c r="F15" s="4" t="inlineStr">
        <is>
          <t>参半oralshark-SP2凝香茉莉味氨基酸牙膏180g</t>
        </is>
      </c>
      <c r="G15" s="4" t="n">
        <v>567</v>
      </c>
      <c r="H15" s="4" t="n">
        <v>11283.3</v>
      </c>
    </row>
    <row r="16">
      <c r="A16" s="4" t="n">
        <v>5</v>
      </c>
      <c r="B16" s="4" t="inlineStr">
        <is>
          <t>东莞市诚成行供应链管理有限公司</t>
        </is>
      </c>
      <c r="C16" s="4" t="inlineStr">
        <is>
          <t>2026-04-01 至 2026-04-30</t>
        </is>
      </c>
      <c r="D16" s="4" t="inlineStr">
        <is>
          <t>020260007</t>
        </is>
      </c>
      <c r="E16" s="4" t="inlineStr">
        <is>
          <t>6970356164203</t>
        </is>
      </c>
      <c r="F16" s="4" t="inlineStr">
        <is>
          <t>参半oralshark-SP2十里晚香味益清新牙膏180g</t>
        </is>
      </c>
      <c r="G16" s="4" t="n">
        <v>308</v>
      </c>
      <c r="H16" s="4" t="n">
        <v>7669.2</v>
      </c>
    </row>
    <row r="17">
      <c r="A17" s="4" t="n">
        <v>6</v>
      </c>
      <c r="B17" s="4" t="inlineStr">
        <is>
          <t>东莞市诚成行供应链管理有限公司</t>
        </is>
      </c>
      <c r="C17" s="4" t="inlineStr">
        <is>
          <t>2026-04-01 至 2026-04-30</t>
        </is>
      </c>
      <c r="D17" s="4" t="inlineStr">
        <is>
          <t>020260008</t>
        </is>
      </c>
      <c r="E17" s="4" t="inlineStr">
        <is>
          <t>6970356164258</t>
        </is>
      </c>
      <c r="F17" s="4" t="inlineStr">
        <is>
          <t>参半oralshark-SP3清水白桃味星璨白牙膏160g</t>
        </is>
      </c>
      <c r="G17" s="4" t="n">
        <v>61</v>
      </c>
      <c r="H17" s="4" t="n">
        <v>1823.9</v>
      </c>
    </row>
    <row r="18">
      <c r="A18" s="4" t="n">
        <v>7</v>
      </c>
      <c r="B18" s="4" t="inlineStr">
        <is>
          <t>东莞市诚成行供应链管理有限公司</t>
        </is>
      </c>
      <c r="C18" s="4" t="inlineStr">
        <is>
          <t>2026-04-01 至 2026-04-30</t>
        </is>
      </c>
      <c r="D18" s="4" t="inlineStr">
        <is>
          <t>020260013</t>
        </is>
      </c>
      <c r="E18" s="4" t="inlineStr">
        <is>
          <t>6970356164296</t>
        </is>
      </c>
      <c r="F18" s="4" t="inlineStr">
        <is>
          <t>参半oralshark-SP4倍感薄荷味清新牙膏120g</t>
        </is>
      </c>
      <c r="G18" s="4" t="n">
        <v>129</v>
      </c>
      <c r="H18" s="4" t="n">
        <v>5147.1</v>
      </c>
    </row>
    <row r="19">
      <c r="A19" s="4" t="n">
        <v>8</v>
      </c>
      <c r="B19" s="4" t="inlineStr">
        <is>
          <t>东莞市诚成行供应链管理有限公司</t>
        </is>
      </c>
      <c r="C19" s="4" t="inlineStr">
        <is>
          <t>2026-04-01 至 2026-04-30</t>
        </is>
      </c>
      <c r="D19" s="4" t="inlineStr">
        <is>
          <t>020260010</t>
        </is>
      </c>
      <c r="E19" s="4" t="inlineStr">
        <is>
          <t>6970356164289</t>
        </is>
      </c>
      <c r="F19" s="4" t="inlineStr">
        <is>
          <t>参半oralshark-SP4美白牙膏120g</t>
        </is>
      </c>
      <c r="G19" s="4" t="n">
        <v>325</v>
      </c>
      <c r="H19" s="4" t="n">
        <v>9717.5</v>
      </c>
    </row>
    <row r="20">
      <c r="A20" s="4" t="n">
        <v>9</v>
      </c>
      <c r="B20" s="4" t="inlineStr">
        <is>
          <t>东莞市诚成行供应链管理有限公司</t>
        </is>
      </c>
      <c r="C20" s="4" t="inlineStr">
        <is>
          <t>2026-04-01 至 2026-04-30</t>
        </is>
      </c>
      <c r="D20" s="4" t="inlineStr">
        <is>
          <t>020260031</t>
        </is>
      </c>
      <c r="E20" s="4" t="inlineStr">
        <is>
          <t>6970356166979</t>
        </is>
      </c>
      <c r="F20" s="4" t="inlineStr">
        <is>
          <t>参半oralshark口气清新护理3+2量贩装160g+160g+100g</t>
        </is>
      </c>
      <c r="G20" s="4" t="n">
        <v>3517</v>
      </c>
      <c r="H20" s="4" t="n">
        <v>105158.3</v>
      </c>
    </row>
    <row r="21">
      <c r="A21" s="4" t="n">
        <v>10</v>
      </c>
      <c r="B21" s="4" t="inlineStr">
        <is>
          <t>东莞市诚成行供应链管理有限公司</t>
        </is>
      </c>
      <c r="C21" s="4" t="inlineStr">
        <is>
          <t>2026-04-01 至 2026-04-30</t>
        </is>
      </c>
      <c r="D21" s="4" t="inlineStr">
        <is>
          <t>020260037</t>
        </is>
      </c>
      <c r="E21" s="4" t="inlineStr">
        <is>
          <t>6970356164388</t>
        </is>
      </c>
      <c r="F21" s="4" t="inlineStr">
        <is>
          <t>参半oralshark臻白沁香1+2特享装牙膏（小苏打160g+西柚100g+龙井100g）</t>
        </is>
      </c>
      <c r="G21" s="4" t="n">
        <v>406</v>
      </c>
      <c r="H21" s="4" t="n">
        <v>12139.4</v>
      </c>
    </row>
    <row r="22">
      <c r="A22" s="4" t="n">
        <v>11</v>
      </c>
      <c r="B22" s="4" t="inlineStr">
        <is>
          <t>东莞市诚成行供应链管理有限公司</t>
        </is>
      </c>
      <c r="C22" s="4" t="inlineStr">
        <is>
          <t>2026-04-01 至 2026-04-30</t>
        </is>
      </c>
      <c r="D22" s="4" t="inlineStr">
        <is>
          <t>030160008</t>
        </is>
      </c>
      <c r="E22" s="4" t="inlineStr">
        <is>
          <t>6970356164159</t>
        </is>
      </c>
      <c r="F22" s="4" t="inlineStr">
        <is>
          <t>参半白巧棒牙刷（单支装 ）代言人</t>
        </is>
      </c>
      <c r="G22" s="4" t="n">
        <v>128</v>
      </c>
      <c r="H22" s="4" t="n">
        <v>2150.4</v>
      </c>
    </row>
    <row r="23">
      <c r="A23" s="4" t="n">
        <v>12</v>
      </c>
      <c r="B23" s="4" t="inlineStr">
        <is>
          <t>东莞市诚成行供应链管理有限公司</t>
        </is>
      </c>
      <c r="C23" s="4" t="inlineStr">
        <is>
          <t>2026-04-01 至 2026-04-30</t>
        </is>
      </c>
      <c r="D23" s="4" t="inlineStr">
        <is>
          <t>020260034</t>
        </is>
      </c>
      <c r="E23" s="4" t="inlineStr">
        <is>
          <t>6970356168454</t>
        </is>
      </c>
      <c r="F23" s="4" t="inlineStr">
        <is>
          <t>参半倍养护牙膏100g</t>
        </is>
      </c>
      <c r="G23" s="4" t="n">
        <v>813</v>
      </c>
      <c r="H23" s="4" t="n">
        <v>16178.7</v>
      </c>
    </row>
    <row r="24">
      <c r="A24" s="4" t="n">
        <v>13</v>
      </c>
      <c r="B24" s="4" t="inlineStr">
        <is>
          <t>东莞市诚成行供应链管理有限公司</t>
        </is>
      </c>
      <c r="C24" s="4" t="inlineStr">
        <is>
          <t>2026-04-01 至 2026-04-30</t>
        </is>
      </c>
      <c r="D24" s="4" t="inlineStr">
        <is>
          <t>020260005</t>
        </is>
      </c>
      <c r="E24" s="4" t="inlineStr">
        <is>
          <t>6970356165774</t>
        </is>
      </c>
      <c r="F24" s="4" t="inlineStr">
        <is>
          <t>参半草莓优格味儿童乳酸菌牙膏60g</t>
        </is>
      </c>
      <c r="G24" s="4" t="n">
        <v>114</v>
      </c>
      <c r="H24" s="4" t="n">
        <v>2496.6</v>
      </c>
    </row>
    <row r="25">
      <c r="A25" s="4" t="n">
        <v>14</v>
      </c>
      <c r="B25" s="4" t="inlineStr">
        <is>
          <t>东莞市诚成行供应链管理有限公司</t>
        </is>
      </c>
      <c r="C25" s="4" t="inlineStr">
        <is>
          <t>2026-04-01 至 2026-04-30</t>
        </is>
      </c>
      <c r="D25" s="4" t="inlineStr">
        <is>
          <t>020260015</t>
        </is>
      </c>
      <c r="E25" s="4" t="inlineStr">
        <is>
          <t>6970356168904</t>
        </is>
      </c>
      <c r="F25" s="4" t="inlineStr">
        <is>
          <t>参半多效清新口腔喷雾（劲爽薄荷）20ml</t>
        </is>
      </c>
      <c r="G25" s="4" t="n">
        <v>28</v>
      </c>
      <c r="H25" s="4" t="n">
        <v>728</v>
      </c>
    </row>
    <row r="26">
      <c r="A26" s="4" t="n">
        <v>15</v>
      </c>
      <c r="B26" s="4" t="inlineStr">
        <is>
          <t>东莞市诚成行供应链管理有限公司</t>
        </is>
      </c>
      <c r="C26" s="4" t="inlineStr">
        <is>
          <t>2026-04-01 至 2026-04-30</t>
        </is>
      </c>
      <c r="D26" s="4" t="inlineStr">
        <is>
          <t>020260019</t>
        </is>
      </c>
      <c r="E26" s="4" t="inlineStr">
        <is>
          <t>6970356165910</t>
        </is>
      </c>
      <c r="F26" s="4" t="inlineStr">
        <is>
          <t>参半儿童蜜桃味奥拉氟牙膏60g</t>
        </is>
      </c>
      <c r="G26" s="4" t="n">
        <v>98</v>
      </c>
      <c r="H26" s="4" t="n">
        <v>2930.2</v>
      </c>
    </row>
    <row r="27">
      <c r="A27" s="4" t="n">
        <v>16</v>
      </c>
      <c r="B27" s="4" t="inlineStr">
        <is>
          <t>东莞市诚成行供应链管理有限公司</t>
        </is>
      </c>
      <c r="C27" s="4" t="inlineStr">
        <is>
          <t>2026-04-01 至 2026-04-30</t>
        </is>
      </c>
      <c r="D27" s="4" t="inlineStr">
        <is>
          <t>030160005</t>
        </is>
      </c>
      <c r="E27" s="4" t="inlineStr">
        <is>
          <t>6970356166450</t>
        </is>
      </c>
      <c r="F27" s="4" t="inlineStr">
        <is>
          <t>参半儿童泡泡魔法棒牙刷双支装</t>
        </is>
      </c>
      <c r="G27" s="4" t="n">
        <v>170</v>
      </c>
      <c r="H27" s="4" t="n">
        <v>4403</v>
      </c>
    </row>
    <row r="28">
      <c r="A28" s="4" t="n">
        <v>17</v>
      </c>
      <c r="B28" s="4" t="inlineStr">
        <is>
          <t>东莞市诚成行供应链管理有限公司</t>
        </is>
      </c>
      <c r="C28" s="4" t="inlineStr">
        <is>
          <t>2026-04-01 至 2026-04-30</t>
        </is>
      </c>
      <c r="D28" s="4" t="inlineStr">
        <is>
          <t>030160004</t>
        </is>
      </c>
      <c r="E28" s="4" t="inlineStr">
        <is>
          <t>6970356166931</t>
        </is>
      </c>
      <c r="F28" s="4" t="inlineStr">
        <is>
          <t>参半儿童宇航员牙刷双支装</t>
        </is>
      </c>
      <c r="G28" s="4" t="n">
        <v>145</v>
      </c>
      <c r="H28" s="4" t="n">
        <v>2885.5</v>
      </c>
    </row>
    <row r="29">
      <c r="A29" s="4" t="n">
        <v>18</v>
      </c>
      <c r="B29" s="4" t="inlineStr">
        <is>
          <t>东莞市诚成行供应链管理有限公司</t>
        </is>
      </c>
      <c r="C29" s="4" t="inlineStr">
        <is>
          <t>2026-04-01 至 2026-04-30</t>
        </is>
      </c>
      <c r="D29" s="4" t="inlineStr">
        <is>
          <t>020260022</t>
        </is>
      </c>
      <c r="E29" s="4" t="inlineStr">
        <is>
          <t>6970356162391</t>
        </is>
      </c>
      <c r="F29" s="4" t="inlineStr">
        <is>
          <t>参半沸石净齿牙膏140g</t>
        </is>
      </c>
      <c r="G29" s="4" t="n">
        <v>1082</v>
      </c>
      <c r="H29" s="4" t="n">
        <v>32351.8</v>
      </c>
    </row>
    <row r="30">
      <c r="A30" s="4" t="n">
        <v>19</v>
      </c>
      <c r="B30" s="4" t="inlineStr">
        <is>
          <t>东莞市诚成行供应链管理有限公司</t>
        </is>
      </c>
      <c r="C30" s="4" t="inlineStr">
        <is>
          <t>2026-04-01 至 2026-04-30</t>
        </is>
      </c>
      <c r="D30" s="4" t="inlineStr">
        <is>
          <t>020260023</t>
        </is>
      </c>
      <c r="E30" s="4" t="inlineStr">
        <is>
          <t>6970356162810</t>
        </is>
      </c>
      <c r="F30" s="4" t="inlineStr">
        <is>
          <t>参半沸石美白牙膏140g</t>
        </is>
      </c>
      <c r="G30" s="4" t="n">
        <v>1139</v>
      </c>
      <c r="H30" s="4" t="n">
        <v>34056.1</v>
      </c>
    </row>
    <row r="31">
      <c r="A31" s="4" t="n">
        <v>20</v>
      </c>
      <c r="B31" s="4" t="inlineStr">
        <is>
          <t>东莞市诚成行供应链管理有限公司</t>
        </is>
      </c>
      <c r="C31" s="4" t="inlineStr">
        <is>
          <t>2026-04-01 至 2026-04-30</t>
        </is>
      </c>
      <c r="D31" s="4" t="inlineStr">
        <is>
          <t>030160009</t>
        </is>
      </c>
      <c r="E31" s="4" t="inlineStr">
        <is>
          <t>6970356160304</t>
        </is>
      </c>
      <c r="F31" s="4" t="inlineStr">
        <is>
          <t>参半光感密柔牙刷 双支装</t>
        </is>
      </c>
      <c r="G31" s="4" t="n">
        <v>104</v>
      </c>
      <c r="H31" s="4" t="n">
        <v>1435.2</v>
      </c>
    </row>
    <row r="32">
      <c r="A32" s="4" t="n">
        <v>21</v>
      </c>
      <c r="B32" s="4" t="inlineStr">
        <is>
          <t>东莞市诚成行供应链管理有限公司</t>
        </is>
      </c>
      <c r="C32" s="4" t="inlineStr">
        <is>
          <t>2026-04-01 至 2026-04-30</t>
        </is>
      </c>
      <c r="D32" s="4" t="inlineStr">
        <is>
          <t>030160007</t>
        </is>
      </c>
      <c r="E32" s="4" t="inlineStr">
        <is>
          <t>6970356164500</t>
        </is>
      </c>
      <c r="F32" s="4" t="inlineStr">
        <is>
          <t>参半黑巧棒牙刷（单支装 ）代言人</t>
        </is>
      </c>
      <c r="G32" s="4" t="n">
        <v>96</v>
      </c>
      <c r="H32" s="4" t="n">
        <v>1612.8</v>
      </c>
    </row>
    <row r="33">
      <c r="A33" s="4" t="n">
        <v>22</v>
      </c>
      <c r="B33" s="4" t="inlineStr">
        <is>
          <t>东莞市诚成行供应链管理有限公司</t>
        </is>
      </c>
      <c r="C33" s="4" t="inlineStr">
        <is>
          <t>2026-04-01 至 2026-04-30</t>
        </is>
      </c>
      <c r="D33" s="4" t="inlineStr">
        <is>
          <t>020260006</t>
        </is>
      </c>
      <c r="E33" s="4" t="inlineStr">
        <is>
          <t>6970356164395</t>
        </is>
      </c>
      <c r="F33" s="4" t="inlineStr">
        <is>
          <t>参半极光白酵素超值装牙膏(极光白160g+龙井100g)</t>
        </is>
      </c>
      <c r="G33" s="4" t="n">
        <v>182</v>
      </c>
      <c r="H33" s="4" t="n">
        <v>4695.6</v>
      </c>
    </row>
    <row r="34">
      <c r="A34" s="4" t="n">
        <v>23</v>
      </c>
      <c r="B34" s="4" t="inlineStr">
        <is>
          <t>东莞市诚成行供应链管理有限公司</t>
        </is>
      </c>
      <c r="C34" s="4" t="inlineStr">
        <is>
          <t>2026-04-01 至 2026-04-30</t>
        </is>
      </c>
      <c r="D34" s="4" t="inlineStr">
        <is>
          <t>020260016</t>
        </is>
      </c>
      <c r="E34" s="4" t="inlineStr">
        <is>
          <t>6970356167853</t>
        </is>
      </c>
      <c r="F34" s="4" t="inlineStr">
        <is>
          <t>参半可护愈创木香味牙膏160g</t>
        </is>
      </c>
      <c r="G34" s="4" t="n">
        <v>169</v>
      </c>
      <c r="H34" s="4" t="n">
        <v>5053.1</v>
      </c>
    </row>
    <row r="35">
      <c r="A35" s="4" t="n">
        <v>24</v>
      </c>
      <c r="B35" s="4" t="inlineStr">
        <is>
          <t>东莞市诚成行供应链管理有限公司</t>
        </is>
      </c>
      <c r="C35" s="4" t="inlineStr">
        <is>
          <t>2026-04-01 至 2026-04-30</t>
        </is>
      </c>
      <c r="D35" s="4" t="inlineStr">
        <is>
          <t>020260018</t>
        </is>
      </c>
      <c r="E35" s="4" t="inlineStr">
        <is>
          <t>6970356167839</t>
        </is>
      </c>
      <c r="F35" s="4" t="inlineStr">
        <is>
          <t>参半可清火绒草香味牙膏100g</t>
        </is>
      </c>
      <c r="G35" s="4" t="n">
        <v>53</v>
      </c>
      <c r="H35" s="4" t="n">
        <v>2114.7</v>
      </c>
    </row>
    <row r="36">
      <c r="A36" s="4" t="n">
        <v>25</v>
      </c>
      <c r="B36" s="4" t="inlineStr">
        <is>
          <t>东莞市诚成行供应链管理有限公司</t>
        </is>
      </c>
      <c r="C36" s="4" t="inlineStr">
        <is>
          <t>2026-04-01 至 2026-04-30</t>
        </is>
      </c>
      <c r="D36" s="4" t="inlineStr">
        <is>
          <t>020260046</t>
        </is>
      </c>
      <c r="E36" s="4" t="inlineStr">
        <is>
          <t>6970356169338</t>
        </is>
      </c>
      <c r="F36" s="4" t="inlineStr">
        <is>
          <t>参半可益白牙膏葡萄知梨120g</t>
        </is>
      </c>
      <c r="G36" s="4" t="n">
        <v>75</v>
      </c>
      <c r="H36" s="4" t="n">
        <v>2242.5</v>
      </c>
    </row>
    <row r="37">
      <c r="A37" s="4" t="n">
        <v>26</v>
      </c>
      <c r="B37" s="4" t="inlineStr">
        <is>
          <t>东莞市诚成行供应链管理有限公司</t>
        </is>
      </c>
      <c r="C37" s="4" t="inlineStr">
        <is>
          <t>2026-04-01 至 2026-04-30</t>
        </is>
      </c>
      <c r="D37" s="4" t="inlineStr">
        <is>
          <t>020260035</t>
        </is>
      </c>
      <c r="E37" s="4" t="inlineStr">
        <is>
          <t>6970356169321</t>
        </is>
      </c>
      <c r="F37" s="4" t="inlineStr">
        <is>
          <t>参半可益清牙膏葡见茶爽120g</t>
        </is>
      </c>
      <c r="G37" s="4" t="n">
        <v>950</v>
      </c>
      <c r="H37" s="4" t="n">
        <v>23655</v>
      </c>
    </row>
    <row r="38">
      <c r="A38" s="4" t="n">
        <v>27</v>
      </c>
      <c r="B38" s="4" t="inlineStr">
        <is>
          <t>东莞市诚成行供应链管理有限公司</t>
        </is>
      </c>
      <c r="C38" s="4" t="inlineStr">
        <is>
          <t>2026-04-01 至 2026-04-30</t>
        </is>
      </c>
      <c r="D38" s="4" t="inlineStr">
        <is>
          <t>030160003</t>
        </is>
      </c>
      <c r="E38" s="4" t="inlineStr">
        <is>
          <t>6970356165095</t>
        </is>
      </c>
      <c r="F38" s="4" t="inlineStr">
        <is>
          <t>参半宽头绵云牙刷双支装</t>
        </is>
      </c>
      <c r="G38" s="4" t="n">
        <v>262</v>
      </c>
      <c r="H38" s="4" t="n">
        <v>5213.8</v>
      </c>
    </row>
    <row r="39">
      <c r="A39" s="4" t="n">
        <v>28</v>
      </c>
      <c r="B39" s="4" t="inlineStr">
        <is>
          <t>东莞市诚成行供应链管理有限公司</t>
        </is>
      </c>
      <c r="C39" s="4" t="inlineStr">
        <is>
          <t>2026-04-01 至 2026-04-30</t>
        </is>
      </c>
      <c r="D39" s="4" t="inlineStr">
        <is>
          <t>020260024</t>
        </is>
      </c>
      <c r="E39" s="4" t="inlineStr">
        <is>
          <t>6970356162919</t>
        </is>
      </c>
      <c r="F39" s="4" t="inlineStr">
        <is>
          <t>参半零度清新牙膏120g</t>
        </is>
      </c>
      <c r="G39" s="4" t="n">
        <v>86</v>
      </c>
      <c r="H39" s="4" t="n">
        <v>2915.4</v>
      </c>
    </row>
    <row r="40">
      <c r="A40" s="4" t="n">
        <v>29</v>
      </c>
      <c r="B40" s="4" t="inlineStr">
        <is>
          <t>东莞市诚成行供应链管理有限公司</t>
        </is>
      </c>
      <c r="C40" s="4" t="inlineStr">
        <is>
          <t>2026-04-01 至 2026-04-30</t>
        </is>
      </c>
      <c r="D40" s="4" t="inlineStr">
        <is>
          <t>030160012</t>
        </is>
      </c>
      <c r="E40" s="4" t="inlineStr">
        <is>
          <t>6970356160496</t>
        </is>
      </c>
      <c r="F40" s="4" t="inlineStr">
        <is>
          <t>参半梦幻绒感牙刷 双支装</t>
        </is>
      </c>
      <c r="G40" s="4" t="n">
        <v>77</v>
      </c>
      <c r="H40" s="4" t="n">
        <v>1216.6</v>
      </c>
    </row>
    <row r="41">
      <c r="A41" s="4" t="n">
        <v>30</v>
      </c>
      <c r="B41" s="4" t="inlineStr">
        <is>
          <t>东莞市诚成行供应链管理有限公司</t>
        </is>
      </c>
      <c r="C41" s="4" t="inlineStr">
        <is>
          <t>2026-04-01 至 2026-04-30</t>
        </is>
      </c>
      <c r="D41" s="4" t="inlineStr">
        <is>
          <t>030160002</t>
        </is>
      </c>
      <c r="E41" s="4" t="inlineStr">
        <is>
          <t>6970356165156</t>
        </is>
      </c>
      <c r="F41" s="4" t="inlineStr">
        <is>
          <t>参半绒感净护牙刷双支装</t>
        </is>
      </c>
      <c r="G41" s="4" t="n">
        <v>50</v>
      </c>
      <c r="H41" s="4" t="n">
        <v>995</v>
      </c>
    </row>
    <row r="42">
      <c r="A42" s="4" t="n">
        <v>31</v>
      </c>
      <c r="B42" s="4" t="inlineStr">
        <is>
          <t>东莞市诚成行供应链管理有限公司</t>
        </is>
      </c>
      <c r="C42" s="4" t="inlineStr">
        <is>
          <t>2026-04-01 至 2026-04-30</t>
        </is>
      </c>
      <c r="D42" s="4" t="inlineStr">
        <is>
          <t>030160001</t>
        </is>
      </c>
      <c r="E42" s="4" t="inlineStr">
        <is>
          <t>6970356166429</t>
        </is>
      </c>
      <c r="F42" s="4" t="inlineStr">
        <is>
          <t>参半星星魔法棒牙刷单支装</t>
        </is>
      </c>
      <c r="G42" s="4" t="n">
        <v>43</v>
      </c>
      <c r="H42" s="4" t="n">
        <v>855.7</v>
      </c>
    </row>
    <row r="43">
      <c r="A43" s="4" t="n">
        <v>32</v>
      </c>
      <c r="B43" s="4" t="inlineStr">
        <is>
          <t>东莞市诚成行供应链管理有限公司</t>
        </is>
      </c>
      <c r="C43" s="4" t="inlineStr">
        <is>
          <t>2026-04-01 至 2026-04-30</t>
        </is>
      </c>
      <c r="D43" s="4" t="inlineStr">
        <is>
          <t>030160010</t>
        </is>
      </c>
      <c r="E43" s="4" t="inlineStr">
        <is>
          <t>6970356160366</t>
        </is>
      </c>
      <c r="F43" s="4" t="inlineStr">
        <is>
          <t>参半旋风净白牙刷 双支装</t>
        </is>
      </c>
      <c r="G43" s="4" t="n">
        <v>89</v>
      </c>
      <c r="H43" s="4" t="n">
        <v>1228.2</v>
      </c>
    </row>
    <row r="44">
      <c r="A44" s="4" t="n">
        <v>33</v>
      </c>
      <c r="B44" s="4" t="inlineStr">
        <is>
          <t>东莞市诚成行供应链管理有限公司</t>
        </is>
      </c>
      <c r="C44" s="4" t="inlineStr">
        <is>
          <t>2026-04-01 至 2026-04-30</t>
        </is>
      </c>
      <c r="D44" s="4" t="inlineStr">
        <is>
          <t>020260002</t>
        </is>
      </c>
      <c r="E44" s="4" t="inlineStr">
        <is>
          <t>6970356165453</t>
        </is>
      </c>
      <c r="F44" s="4" t="inlineStr">
        <is>
          <t>参半益生菌漱口水-海洋薄荷250ml</t>
        </is>
      </c>
      <c r="G44" s="4" t="n">
        <v>23</v>
      </c>
      <c r="H44" s="4" t="n">
        <v>457.7</v>
      </c>
    </row>
    <row r="45">
      <c r="A45" s="4" t="n">
        <v>34</v>
      </c>
      <c r="B45" s="4" t="inlineStr">
        <is>
          <t>东莞市诚成行供应链管理有限公司</t>
        </is>
      </c>
      <c r="C45" s="4" t="inlineStr">
        <is>
          <t>2026-04-01 至 2026-04-30</t>
        </is>
      </c>
      <c r="D45" s="4" t="inlineStr">
        <is>
          <t>020260001</t>
        </is>
      </c>
      <c r="E45" s="4" t="inlineStr">
        <is>
          <t>6970356164548</t>
        </is>
      </c>
      <c r="F45" s="4" t="inlineStr">
        <is>
          <t>参半益生菌漱口水-阳光西柚250ml</t>
        </is>
      </c>
      <c r="G45" s="4" t="n">
        <v>41</v>
      </c>
      <c r="H45" s="4" t="n">
        <v>487.9</v>
      </c>
    </row>
    <row r="46">
      <c r="A46" s="4" t="n">
        <v>35</v>
      </c>
      <c r="B46" s="4" t="inlineStr">
        <is>
          <t>东莞市诚成行供应链管理有限公司</t>
        </is>
      </c>
      <c r="C46" s="4" t="inlineStr">
        <is>
          <t>2026-04-01 至 2026-04-30</t>
        </is>
      </c>
      <c r="D46" s="4" t="inlineStr">
        <is>
          <t>030160011</t>
        </is>
      </c>
      <c r="E46" s="4" t="inlineStr">
        <is>
          <t>6970356161721</t>
        </is>
      </c>
      <c r="F46" s="4" t="inlineStr">
        <is>
          <t>参半羽感宽护牙刷 双支装</t>
        </is>
      </c>
      <c r="G46" s="4" t="n">
        <v>43</v>
      </c>
      <c r="H46" s="4" t="n">
        <v>593.4</v>
      </c>
    </row>
    <row r="47">
      <c r="A47" s="4" t="n">
        <v>36</v>
      </c>
      <c r="B47" s="4" t="inlineStr">
        <is>
          <t>东莞市诚成行供应链管理有限公司</t>
        </is>
      </c>
      <c r="C47" s="4" t="inlineStr">
        <is>
          <t>2026-04-01 至 2026-04-30</t>
        </is>
      </c>
      <c r="D47" s="4" t="inlineStr">
        <is>
          <t>020260017</t>
        </is>
      </c>
      <c r="E47" s="4" t="inlineStr">
        <is>
          <t>6970356167846</t>
        </is>
      </c>
      <c r="F47" s="4" t="inlineStr">
        <is>
          <t>参半植清尤加利香味牙膏180g</t>
        </is>
      </c>
      <c r="G47" s="4" t="n">
        <v>149</v>
      </c>
      <c r="H47" s="4" t="n">
        <v>4842.5</v>
      </c>
    </row>
    <row r="48">
      <c r="A48" s="4" t="n">
        <v>37</v>
      </c>
      <c r="B48" s="4" t="inlineStr">
        <is>
          <t>东莞市诚成行供应链管理有限公司</t>
        </is>
      </c>
      <c r="C48" s="4" t="inlineStr">
        <is>
          <t>2026-04-01 至 2026-04-30</t>
        </is>
      </c>
      <c r="D48" s="4" t="inlineStr">
        <is>
          <t>020260025</t>
        </is>
      </c>
      <c r="E48" s="4" t="inlineStr">
        <is>
          <t>6970356162636</t>
        </is>
      </c>
      <c r="F48" s="4" t="inlineStr">
        <is>
          <t>参半专研清新美白牙膏100g</t>
        </is>
      </c>
      <c r="G48" s="4" t="n">
        <v>311</v>
      </c>
      <c r="H48" s="4" t="n">
        <v>12408.9</v>
      </c>
    </row>
    <row r="49">
      <c r="A49" s="12" t="inlineStr">
        <is>
          <t>合计</t>
        </is>
      </c>
      <c r="B49" s="12" t="n"/>
      <c r="C49" s="12" t="n"/>
      <c r="D49" s="12" t="n"/>
      <c r="E49" s="12" t="n"/>
      <c r="F49" s="12" t="n"/>
      <c r="G49" s="13">
        <f>SUM(G13:G48)</f>
        <v/>
      </c>
      <c r="H49" s="13">
        <f>SUM(H13:H48)</f>
        <v/>
      </c>
    </row>
  </sheetData>
  <autoFilter ref="A12:H49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4" customWidth="1" min="3" max="3"/>
    <col width="68" customWidth="1" min="4" max="4"/>
    <col width="20" customWidth="1" min="5" max="5"/>
    <col width="23" customWidth="1" min="6" max="6"/>
    <col width="10" customWidth="1" min="7" max="7"/>
    <col width="35" customWidth="1" min="8" max="8"/>
    <col width="12" customWidth="1" min="9" max="9"/>
  </cols>
  <sheetData>
    <row r="1" ht="28" customHeight="1">
      <c r="A1" s="1" t="inlineStr">
        <is>
          <t>堆头核销：照片文件哈希与原始元数据</t>
        </is>
      </c>
    </row>
    <row r="2" ht="32" customHeight="1">
      <c r="A2" s="2" t="inlineStr">
        <is>
          <t>SHA-256用于完全重复检测，dHash用于快速识别视觉相同候选；EXIF/GPS缺失需在风险中保留。</t>
        </is>
      </c>
    </row>
    <row r="3" ht="30" customHeight="1">
      <c r="A3" s="3" t="inlineStr">
        <is>
          <t>文件名</t>
        </is>
      </c>
      <c r="B3" s="3" t="inlineStr">
        <is>
          <t>尺寸</t>
        </is>
      </c>
      <c r="C3" s="3" t="inlineStr">
        <is>
          <t>文件大小</t>
        </is>
      </c>
      <c r="D3" s="3" t="inlineStr">
        <is>
          <t>SHA-256</t>
        </is>
      </c>
      <c r="E3" s="3" t="inlineStr">
        <is>
          <t>dHash</t>
        </is>
      </c>
      <c r="F3" s="3" t="inlineStr">
        <is>
          <t>EXIF时间</t>
        </is>
      </c>
      <c r="G3" s="3" t="inlineStr">
        <is>
          <t>GPS</t>
        </is>
      </c>
      <c r="H3" s="3" t="inlineStr">
        <is>
          <t>绑定门店</t>
        </is>
      </c>
      <c r="I3" s="3" t="inlineStr">
        <is>
          <t>状态</t>
        </is>
      </c>
    </row>
    <row r="4">
      <c r="A4" s="4" t="inlineStr">
        <is>
          <t>1.厚街汉邦66广场家家欣.jpg</t>
        </is>
      </c>
      <c r="B4" s="4" t="inlineStr">
        <is>
          <t>1279×1706</t>
        </is>
      </c>
      <c r="C4" s="4" t="n">
        <v>491884</v>
      </c>
      <c r="D4" s="4" t="inlineStr">
        <is>
          <t>2bc5b681403c0d0e05ba6394449fd73b18e211370dbdfc3b1e3166678fb33aad</t>
        </is>
      </c>
      <c r="E4" s="4" t="inlineStr">
        <is>
          <t>d00713d3935a4615</t>
        </is>
      </c>
      <c r="F4" s="4" t="n"/>
      <c r="G4" s="4" t="inlineStr">
        <is>
          <t>无</t>
        </is>
      </c>
      <c r="H4" s="4" t="inlineStr">
        <is>
          <t>66广场家家欣</t>
        </is>
      </c>
      <c r="I4" s="4" t="inlineStr">
        <is>
          <t>已绑定</t>
        </is>
      </c>
    </row>
    <row r="5">
      <c r="A5" s="4" t="inlineStr">
        <is>
          <t>10-1挺拇指生活超市(横沥店).jpg</t>
        </is>
      </c>
      <c r="B5" s="4" t="inlineStr">
        <is>
          <t>1279×1706</t>
        </is>
      </c>
      <c r="C5" s="4" t="n">
        <v>767287</v>
      </c>
      <c r="D5" s="4" t="inlineStr">
        <is>
          <t>f12dd735b31b0e3be209767b443a5dde76af047139821839e1c380befa2f17ba</t>
        </is>
      </c>
      <c r="E5" s="4" t="inlineStr">
        <is>
          <t>6f67e7f77db14996</t>
        </is>
      </c>
      <c r="F5" s="4" t="n"/>
      <c r="G5" s="4" t="inlineStr">
        <is>
          <t>无</t>
        </is>
      </c>
      <c r="H5" s="4" t="inlineStr">
        <is>
          <t>挺拇指生活超市（横沥店）</t>
        </is>
      </c>
      <c r="I5" s="4" t="inlineStr">
        <is>
          <t>已绑定</t>
        </is>
      </c>
    </row>
    <row r="6">
      <c r="A6" s="4" t="inlineStr">
        <is>
          <t>10-2挺拇指生活超市(横沥店).jpg</t>
        </is>
      </c>
      <c r="B6" s="4" t="inlineStr">
        <is>
          <t>1279×1706</t>
        </is>
      </c>
      <c r="C6" s="4" t="n">
        <v>872772</v>
      </c>
      <c r="D6" s="4" t="inlineStr">
        <is>
          <t>1d4f8b92c71131ea2dbe09e06cff7496a82afca0ba4d7fced7ab272948670884</t>
        </is>
      </c>
      <c r="E6" s="4" t="inlineStr">
        <is>
          <t>2b295955d4c6f43d</t>
        </is>
      </c>
      <c r="F6" s="4" t="n"/>
      <c r="G6" s="4" t="inlineStr">
        <is>
          <t>无</t>
        </is>
      </c>
      <c r="H6" s="4" t="inlineStr">
        <is>
          <t>挺拇指生活超市（横沥店）</t>
        </is>
      </c>
      <c r="I6" s="4" t="inlineStr">
        <is>
          <t>已绑定</t>
        </is>
      </c>
    </row>
    <row r="7">
      <c r="A7" s="4" t="inlineStr">
        <is>
          <t>11.人人购物荟和超市.jpg</t>
        </is>
      </c>
      <c r="B7" s="4" t="inlineStr">
        <is>
          <t>4525×4496</t>
        </is>
      </c>
      <c r="C7" s="4" t="n">
        <v>3431541</v>
      </c>
      <c r="D7" s="4" t="inlineStr">
        <is>
          <t>7cf34a44ba05a348179771b0c36be20c19f6a0a76fb0c72fc6742c1070011f87</t>
        </is>
      </c>
      <c r="E7" s="4" t="inlineStr">
        <is>
          <t>93939994d070786d</t>
        </is>
      </c>
      <c r="F7" s="4" t="n"/>
      <c r="G7" s="4" t="inlineStr">
        <is>
          <t>无</t>
        </is>
      </c>
      <c r="H7" s="4" t="inlineStr">
        <is>
          <t>人人购物广场荟和二店</t>
        </is>
      </c>
      <c r="I7" s="4" t="inlineStr">
        <is>
          <t>已绑定</t>
        </is>
      </c>
    </row>
    <row r="8">
      <c r="A8" s="4" t="inlineStr">
        <is>
          <t>12.三乐购物广场(森扬商业广场店).jpg</t>
        </is>
      </c>
      <c r="B8" s="4" t="inlineStr">
        <is>
          <t>3028×4032</t>
        </is>
      </c>
      <c r="C8" s="4" t="n">
        <v>2609173</v>
      </c>
      <c r="D8" s="4" t="inlineStr">
        <is>
          <t>817e1b01120475a5f72ab39bce2334a3f0c5d2d7c66d02b0d02e648e70bca0e9</t>
        </is>
      </c>
      <c r="E8" s="4" t="inlineStr">
        <is>
          <t>92b254949870783c</t>
        </is>
      </c>
      <c r="F8" s="4" t="n"/>
      <c r="G8" s="4" t="inlineStr">
        <is>
          <t>无</t>
        </is>
      </c>
      <c r="H8" s="4" t="inlineStr">
        <is>
          <t>三乐购物广场（森扬商业广场店）</t>
        </is>
      </c>
      <c r="I8" s="4" t="inlineStr">
        <is>
          <t>已绑定</t>
        </is>
      </c>
    </row>
    <row r="9">
      <c r="A9" s="4" t="inlineStr">
        <is>
          <t>13.沙井九龙.jpg</t>
        </is>
      </c>
      <c r="B9" s="4" t="inlineStr">
        <is>
          <t>4000×3003</t>
        </is>
      </c>
      <c r="C9" s="4" t="n">
        <v>2762473</v>
      </c>
      <c r="D9" s="4" t="inlineStr">
        <is>
          <t>bea6157436ef7f0a45babca793b9fc67e06ac2beacd1b9eae36c44097b0e3888</t>
        </is>
      </c>
      <c r="E9" s="4" t="inlineStr">
        <is>
          <t>f031717971facaca</t>
        </is>
      </c>
      <c r="F9" s="4" t="n"/>
      <c r="G9" s="4" t="inlineStr">
        <is>
          <t>无</t>
        </is>
      </c>
      <c r="H9" s="4" t="inlineStr">
        <is>
          <t>沙井九龙</t>
        </is>
      </c>
      <c r="I9" s="4" t="inlineStr">
        <is>
          <t>已绑定</t>
        </is>
      </c>
    </row>
    <row r="10">
      <c r="A10" s="4" t="inlineStr">
        <is>
          <t>14.润家连锁超市(美联购物中心店).jpg</t>
        </is>
      </c>
      <c r="B10" s="4" t="inlineStr">
        <is>
          <t>1280×1706</t>
        </is>
      </c>
      <c r="C10" s="4" t="n">
        <v>501429</v>
      </c>
      <c r="D10" s="4" t="inlineStr">
        <is>
          <t>0589b66788746499b68c9813b97ef042c2d1a239cd70be63056d57f4a9587fe5</t>
        </is>
      </c>
      <c r="E10" s="4" t="inlineStr">
        <is>
          <t>5959455c59571389</t>
        </is>
      </c>
      <c r="F10" s="4" t="n"/>
      <c r="G10" s="4" t="inlineStr">
        <is>
          <t>无</t>
        </is>
      </c>
      <c r="H10" s="4" t="inlineStr">
        <is>
          <t>润家连锁超市（美联购物中心店）</t>
        </is>
      </c>
      <c r="I10" s="4" t="inlineStr">
        <is>
          <t>已绑定</t>
        </is>
      </c>
    </row>
    <row r="11">
      <c r="A11" s="4" t="inlineStr">
        <is>
          <t>15。石岩百佳华.jpg</t>
        </is>
      </c>
      <c r="B11" s="4" t="inlineStr">
        <is>
          <t>1279×1706</t>
        </is>
      </c>
      <c r="C11" s="4" t="n">
        <v>501947</v>
      </c>
      <c r="D11" s="4" t="inlineStr">
        <is>
          <t>9845f5c8c808e139ae93bf4a163372cf5e54e7aeb39a8dfbfa1d0aa47e5dfca8</t>
        </is>
      </c>
      <c r="E11" s="4" t="inlineStr">
        <is>
          <t>8186e2f0f070e4ee</t>
        </is>
      </c>
      <c r="F11" s="4" t="n"/>
      <c r="G11" s="4" t="inlineStr">
        <is>
          <t>无</t>
        </is>
      </c>
      <c r="H11" s="4" t="inlineStr">
        <is>
          <t>百佳华（石岩店）</t>
        </is>
      </c>
      <c r="I11" s="4" t="inlineStr">
        <is>
          <t>已绑定</t>
        </is>
      </c>
    </row>
    <row r="12">
      <c r="A12" s="4" t="inlineStr">
        <is>
          <t>16.田心金正和.jpg</t>
        </is>
      </c>
      <c r="B12" s="4" t="inlineStr">
        <is>
          <t>1279×1706</t>
        </is>
      </c>
      <c r="C12" s="4" t="n">
        <v>762202</v>
      </c>
      <c r="D12" s="4" t="inlineStr">
        <is>
          <t>f00f97dc46a52568db5b292f7edb26bedfbc0d6f786e746acea6a56940a7c500</t>
        </is>
      </c>
      <c r="E12" s="4" t="inlineStr">
        <is>
          <t>cf892d6f5927b134</t>
        </is>
      </c>
      <c r="F12" s="4" t="n"/>
      <c r="G12" s="4" t="inlineStr">
        <is>
          <t>无</t>
        </is>
      </c>
      <c r="H12" s="4" t="inlineStr">
        <is>
          <t>田心金正和</t>
        </is>
      </c>
      <c r="I12" s="4" t="inlineStr">
        <is>
          <t>已绑定</t>
        </is>
      </c>
    </row>
    <row r="13">
      <c r="A13" s="4" t="inlineStr">
        <is>
          <t>17·荟和超市(莹展荟店).jpg</t>
        </is>
      </c>
      <c r="B13" s="4" t="inlineStr">
        <is>
          <t>1080×1920</t>
        </is>
      </c>
      <c r="C13" s="4" t="n">
        <v>420260</v>
      </c>
      <c r="D13" s="4" t="inlineStr">
        <is>
          <t>c6a9ac8b3b620adf996334ec432e725c45b4e302c481354caa4959a97c6f1ef1</t>
        </is>
      </c>
      <c r="E13" s="4" t="inlineStr">
        <is>
          <t>0c32f4f0389eecaa</t>
        </is>
      </c>
      <c r="F13" s="4" t="n"/>
      <c r="G13" s="4" t="inlineStr">
        <is>
          <t>无</t>
        </is>
      </c>
      <c r="H13" s="4" t="inlineStr">
        <is>
          <t>荟和超市（莹展荟店）</t>
        </is>
      </c>
      <c r="I13" s="4" t="inlineStr">
        <is>
          <t>已绑定</t>
        </is>
      </c>
    </row>
    <row r="14">
      <c r="A14" s="4" t="inlineStr">
        <is>
          <t>18.三乐购物广场(坦洲店).jpg</t>
        </is>
      </c>
      <c r="B14" s="4" t="inlineStr">
        <is>
          <t>1281×1706</t>
        </is>
      </c>
      <c r="C14" s="4" t="n">
        <v>511770</v>
      </c>
      <c r="D14" s="4" t="inlineStr">
        <is>
          <t>61f0c8113bfbfafd9cc02a2ae69881cb8cc456e911c32c78ba618ab3467153fe</t>
        </is>
      </c>
      <c r="E14" s="4" t="inlineStr">
        <is>
          <t>a3eb23bb1f3b61e7</t>
        </is>
      </c>
      <c r="F14" s="4" t="n"/>
      <c r="G14" s="4" t="inlineStr">
        <is>
          <t>无</t>
        </is>
      </c>
      <c r="H14" s="4" t="inlineStr">
        <is>
          <t>三乐购物广场（坦洲店）</t>
        </is>
      </c>
      <c r="I14" s="4" t="inlineStr">
        <is>
          <t>已绑定</t>
        </is>
      </c>
    </row>
    <row r="15">
      <c r="A15" s="4" t="inlineStr">
        <is>
          <t>19.福源大康惠.jpg</t>
        </is>
      </c>
      <c r="B15" s="4" t="inlineStr">
        <is>
          <t>1279×1706</t>
        </is>
      </c>
      <c r="C15" s="4" t="n">
        <v>760801</v>
      </c>
      <c r="D15" s="4" t="inlineStr">
        <is>
          <t>a83b7852588f47ff9fc8c43791eab025aa930eb7efa97d4da13cd54024be754c</t>
        </is>
      </c>
      <c r="E15" s="4" t="inlineStr">
        <is>
          <t>c38712d6c6f8b683</t>
        </is>
      </c>
      <c r="F15" s="4" t="n"/>
      <c r="G15" s="4" t="inlineStr">
        <is>
          <t>无</t>
        </is>
      </c>
      <c r="H15" s="4" t="inlineStr">
        <is>
          <t>大康惠福源商业广场</t>
        </is>
      </c>
      <c r="I15" s="4" t="inlineStr">
        <is>
          <t>已绑定</t>
        </is>
      </c>
    </row>
    <row r="16">
      <c r="A16" s="4" t="inlineStr">
        <is>
          <t>2.松岗百佳华.jpg</t>
        </is>
      </c>
      <c r="B16" s="4" t="inlineStr">
        <is>
          <t>3024×3759</t>
        </is>
      </c>
      <c r="C16" s="4" t="n">
        <v>2775745</v>
      </c>
      <c r="D16" s="4" t="inlineStr">
        <is>
          <t>12b86e89b2996c4ee22ce55cfa65249237f10c2651963f0a74d6748f6fbdf29f</t>
        </is>
      </c>
      <c r="E16" s="4" t="inlineStr">
        <is>
          <t>e6fcd3fadbd3d3f6</t>
        </is>
      </c>
      <c r="F16" s="4" t="n"/>
      <c r="G16" s="4" t="inlineStr">
        <is>
          <t>无</t>
        </is>
      </c>
      <c r="H16" s="4" t="inlineStr">
        <is>
          <t>百佳华松岗店</t>
        </is>
      </c>
      <c r="I16" s="4" t="inlineStr">
        <is>
          <t>已绑定</t>
        </is>
      </c>
    </row>
    <row r="17">
      <c r="A17" s="4" t="inlineStr">
        <is>
          <t>20.好多宝精选超市(龙眼市场店).jpg</t>
        </is>
      </c>
      <c r="B17" s="4" t="inlineStr">
        <is>
          <t>1200×1600</t>
        </is>
      </c>
      <c r="C17" s="4" t="n">
        <v>380438</v>
      </c>
      <c r="D17" s="4" t="inlineStr">
        <is>
          <t>a2bc6e9f7833a6b2dace149843649c6c2a6b5988e04def5a9bc64d4b2b8740fc</t>
        </is>
      </c>
      <c r="E17" s="4" t="inlineStr">
        <is>
          <t>dcebad3db48cd0b3</t>
        </is>
      </c>
      <c r="F17" s="4" t="n"/>
      <c r="G17" s="4" t="inlineStr">
        <is>
          <t>无</t>
        </is>
      </c>
      <c r="H17" s="4" t="inlineStr">
        <is>
          <t>好多宝精选超市（龙眼市场店）</t>
        </is>
      </c>
      <c r="I17" s="4" t="inlineStr">
        <is>
          <t>已绑定</t>
        </is>
      </c>
    </row>
    <row r="18">
      <c r="A18" s="4" t="inlineStr">
        <is>
          <t>3.公明百佳华.jpg</t>
        </is>
      </c>
      <c r="B18" s="4" t="inlineStr">
        <is>
          <t>1279×1706</t>
        </is>
      </c>
      <c r="C18" s="4" t="n">
        <v>676711</v>
      </c>
      <c r="D18" s="4" t="inlineStr">
        <is>
          <t>334f7fe95b8f70a59cf89c0e2b65a47ba1a19c70d8b1695a51ecd59bdce07463</t>
        </is>
      </c>
      <c r="E18" s="4" t="inlineStr">
        <is>
          <t>d66f8ba5303236b6</t>
        </is>
      </c>
      <c r="F18" s="4" t="n"/>
      <c r="G18" s="4" t="inlineStr">
        <is>
          <t>无</t>
        </is>
      </c>
      <c r="H18" s="4" t="inlineStr">
        <is>
          <t>百佳华百货（公明店）</t>
        </is>
      </c>
      <c r="I18" s="4" t="inlineStr">
        <is>
          <t>已绑定</t>
        </is>
      </c>
    </row>
    <row r="19">
      <c r="A19" s="4" t="inlineStr">
        <is>
          <t>4.新桥百佳华.jpg</t>
        </is>
      </c>
      <c r="B19" s="4" t="inlineStr">
        <is>
          <t>600×800</t>
        </is>
      </c>
      <c r="C19" s="4" t="n">
        <v>123308</v>
      </c>
      <c r="D19" s="4" t="inlineStr">
        <is>
          <t>df7c36d02303fc3b8df13e63888d0dcfed56860ca91d2a86501f67168d32c3ff</t>
        </is>
      </c>
      <c r="E19" s="4" t="inlineStr">
        <is>
          <t>98fe676761d2e2c1</t>
        </is>
      </c>
      <c r="F19" s="4" t="n"/>
      <c r="G19" s="4" t="inlineStr">
        <is>
          <t>无</t>
        </is>
      </c>
      <c r="H19" s="4" t="inlineStr">
        <is>
          <t>百佳华佳漾汇（新桥店）</t>
        </is>
      </c>
      <c r="I19" s="4" t="inlineStr">
        <is>
          <t>已绑定</t>
        </is>
      </c>
    </row>
    <row r="20">
      <c r="A20" s="4" t="inlineStr">
        <is>
          <t>5.华都超市(东坑大道北店).jpg</t>
        </is>
      </c>
      <c r="B20" s="4" t="inlineStr">
        <is>
          <t>1081×1440</t>
        </is>
      </c>
      <c r="C20" s="4" t="n">
        <v>439863</v>
      </c>
      <c r="D20" s="4" t="inlineStr">
        <is>
          <t>61e7f18669fe68e0686638d9bf53e6e488e8ce9ccb78192cdb6647915337dad0</t>
        </is>
      </c>
      <c r="E20" s="4" t="inlineStr">
        <is>
          <t>222b277549a9aded</t>
        </is>
      </c>
      <c r="F20" s="4" t="n"/>
      <c r="G20" s="4" t="inlineStr">
        <is>
          <t>无</t>
        </is>
      </c>
      <c r="H20" s="4" t="inlineStr">
        <is>
          <t>华都超市（东坑大道北店）</t>
        </is>
      </c>
      <c r="I20" s="4" t="inlineStr">
        <is>
          <t>已绑定</t>
        </is>
      </c>
    </row>
    <row r="21">
      <c r="A21" s="4" t="inlineStr">
        <is>
          <t>6.东浦金正和.jpg</t>
        </is>
      </c>
      <c r="B21" s="4" t="inlineStr">
        <is>
          <t>1080×1920</t>
        </is>
      </c>
      <c r="C21" s="4" t="n">
        <v>1084548</v>
      </c>
      <c r="D21" s="4" t="inlineStr">
        <is>
          <t>5443f87d47fe6646e5da357f0e53a41c8934f58255619fe749eae9b7ad9596a0</t>
        </is>
      </c>
      <c r="E21" s="4" t="inlineStr">
        <is>
          <t>13636953d3f07070</t>
        </is>
      </c>
      <c r="F21" s="4" t="n"/>
      <c r="G21" s="4" t="inlineStr">
        <is>
          <t>无</t>
        </is>
      </c>
      <c r="H21" s="4" t="inlineStr">
        <is>
          <t>金大福（东浦金正和总店）</t>
        </is>
      </c>
      <c r="I21" s="4" t="inlineStr">
        <is>
          <t>已绑定</t>
        </is>
      </c>
    </row>
    <row r="22">
      <c r="A22" s="4" t="inlineStr">
        <is>
          <t>7.宝安优城店.jpg</t>
        </is>
      </c>
      <c r="B22" s="4" t="inlineStr">
        <is>
          <t>1081×1440</t>
        </is>
      </c>
      <c r="C22" s="4" t="n">
        <v>434133</v>
      </c>
      <c r="D22" s="4" t="inlineStr">
        <is>
          <t>80ff9c92a5eb1b780e9b0002a5d99c5239d71f592406992133c1e49e77e5834f</t>
        </is>
      </c>
      <c r="E22" s="4" t="inlineStr">
        <is>
          <t>c6866ee6fef8e8e9</t>
        </is>
      </c>
      <c r="F22" s="4" t="n"/>
      <c r="G22" s="4" t="inlineStr">
        <is>
          <t>无</t>
        </is>
      </c>
      <c r="H22" s="4" t="inlineStr">
        <is>
          <t>古原千禧（U·ONE 优城店）</t>
        </is>
      </c>
      <c r="I22" s="4" t="inlineStr">
        <is>
          <t>已绑定</t>
        </is>
      </c>
    </row>
    <row r="23">
      <c r="A23" s="4" t="inlineStr">
        <is>
          <t>8.虎门赤岗家家欣.jpg</t>
        </is>
      </c>
      <c r="B23" s="4" t="inlineStr">
        <is>
          <t>600×800</t>
        </is>
      </c>
      <c r="C23" s="4" t="n">
        <v>129411</v>
      </c>
      <c r="D23" s="4" t="inlineStr">
        <is>
          <t>a397af48c29cc108f54a66ac21d7aec414e79f20838ee3bb2e4851619d1f9e0a</t>
        </is>
      </c>
      <c r="E23" s="4" t="inlineStr">
        <is>
          <t>1a232703a29cf0b4</t>
        </is>
      </c>
      <c r="F23" s="4" t="n"/>
      <c r="G23" s="4" t="inlineStr">
        <is>
          <t>无</t>
        </is>
      </c>
      <c r="H23" s="4" t="inlineStr">
        <is>
          <t>虎门家家欣</t>
        </is>
      </c>
      <c r="I23" s="4" t="inlineStr">
        <is>
          <t>已绑定</t>
        </is>
      </c>
    </row>
    <row r="24">
      <c r="A24" s="4" t="inlineStr">
        <is>
          <t>9.花都宜多.jpg</t>
        </is>
      </c>
      <c r="B24" s="4" t="inlineStr">
        <is>
          <t>1279×1706</t>
        </is>
      </c>
      <c r="C24" s="4" t="n">
        <v>830839</v>
      </c>
      <c r="D24" s="4" t="inlineStr">
        <is>
          <t>37a3bb4647855bff6147f370f02897142fb739c3b1f015546c9701327ca79c87</t>
        </is>
      </c>
      <c r="E24" s="4" t="inlineStr">
        <is>
          <t>163bb9fb5aecf8d4</t>
        </is>
      </c>
      <c r="F24" s="4" t="n"/>
      <c r="G24" s="4" t="inlineStr">
        <is>
          <t>无</t>
        </is>
      </c>
      <c r="H24" s="4" t="inlineStr">
        <is>
          <t>花都宜多</t>
        </is>
      </c>
      <c r="I24" s="4" t="inlineStr">
        <is>
          <t>已绑定</t>
        </is>
      </c>
    </row>
  </sheetData>
  <autoFilter ref="A3:I24"/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60" customWidth="1" min="4" max="4"/>
    <col width="42" customWidth="1" min="5" max="5"/>
    <col width="52" customWidth="1" min="6" max="6"/>
  </cols>
  <sheetData>
    <row r="1" ht="28" customHeight="1">
      <c r="A1" s="1" t="inlineStr">
        <is>
          <t>SQ202603300076-HX202606040013-核销资料-诚成26年4月【堆头20家】：异常与补证清单</t>
        </is>
      </c>
    </row>
    <row r="2" ht="32" customHeight="1">
      <c r="A2" s="2" t="inlineStr">
        <is>
          <t>高风险影响数量/金额或核心证据；中风险表示口径、身份或真实性证据仍需说明。</t>
        </is>
      </c>
    </row>
    <row r="3" ht="30" customHeight="1">
      <c r="A3" s="3" t="inlineStr">
        <is>
          <t>序号</t>
        </is>
      </c>
      <c r="B3" s="3" t="inlineStr">
        <is>
          <t>等级</t>
        </is>
      </c>
      <c r="C3" s="3" t="inlineStr">
        <is>
          <t>异常代码</t>
        </is>
      </c>
      <c r="D3" s="3" t="inlineStr">
        <is>
          <t>发现</t>
        </is>
      </c>
      <c r="E3" s="3" t="inlineStr">
        <is>
          <t>影响</t>
        </is>
      </c>
      <c r="F3" s="3" t="inlineStr">
        <is>
          <t>补证/处理建议</t>
        </is>
      </c>
    </row>
    <row r="4">
      <c r="A4" s="9" t="n">
        <v>1</v>
      </c>
      <c r="B4" s="9" t="inlineStr">
        <is>
          <t>high</t>
        </is>
      </c>
      <c r="C4" s="9" t="inlineStr">
        <is>
          <t>STORE_DISPLAY_EVIDENCE_INCOMPLETE</t>
        </is>
      </c>
      <c r="D4" s="9" t="inlineStr">
        <is>
          <t>合同第1家“66广场家家欣”未通过：照片缺失、门店未匹配。
来源：核销资料-诚成26年4月【堆头20家】/堆头照片/1.厚街汉邦66广场家家欣.jpg</t>
        </is>
      </c>
      <c r="E4" s="9" t="inlineStr">
        <is>
          <t>暂不支持该店1000.00元费用。</t>
        </is>
      </c>
      <c r="F4" s="9" t="inlineStr">
        <is>
          <t>补充“66广场家家欣”与“厚街镇汉邦广场”的地址/入驻关系证明，或提供同日带完整门店名称与地点水印的现场照片。；补齐缺失原始照片文件</t>
        </is>
      </c>
    </row>
    <row r="5">
      <c r="A5" s="9" t="n">
        <v>2</v>
      </c>
      <c r="B5" s="9" t="inlineStr">
        <is>
          <t>high</t>
        </is>
      </c>
      <c r="C5" s="9" t="inlineStr">
        <is>
          <t>STORE_DISPLAY_EVIDENCE_INCOMPLETE</t>
        </is>
      </c>
      <c r="D5" s="9" t="inlineStr">
        <is>
          <t>合同第2家“百佳华松岗店”未通过：照片缺失。
来源：核销资料-诚成26年4月【堆头20家】/堆头照片/2.松岗百佳华.jpg</t>
        </is>
      </c>
      <c r="E5" s="9" t="inlineStr">
        <is>
          <t>暂不支持该店1000.00元费用。</t>
        </is>
      </c>
      <c r="F5" s="9" t="inlineStr">
        <is>
          <t>如需严格同店证明，补充“百佳华松岗店”与“百佳华超市(松岗百佳华商场店)”的门店编码或地址映射。；补齐缺失原始照片文件</t>
        </is>
      </c>
    </row>
    <row r="6">
      <c r="A6" s="9" t="n">
        <v>3</v>
      </c>
      <c r="B6" s="9" t="inlineStr">
        <is>
          <t>high</t>
        </is>
      </c>
      <c r="C6" s="9" t="inlineStr">
        <is>
          <t>STORE_DISPLAY_EVIDENCE_INCOMPLETE</t>
        </is>
      </c>
      <c r="D6" s="9" t="inlineStr">
        <is>
          <t>合同第3家“百佳华百货（公明店）”未通过：照片缺失。
来源：核销资料-诚成26年4月【堆头20家】/堆头照片/3.公明百佳华.jpg</t>
        </is>
      </c>
      <c r="E6" s="9" t="inlineStr">
        <is>
          <t>暂不支持该店1000.00元费用。</t>
        </is>
      </c>
      <c r="F6" s="9" t="inlineStr">
        <is>
          <t>补充公明店更名、门店编码或地址一致性证明。；补齐缺失原始照片文件</t>
        </is>
      </c>
    </row>
    <row r="7">
      <c r="A7" s="9" t="n">
        <v>4</v>
      </c>
      <c r="B7" s="9" t="inlineStr">
        <is>
          <t>high</t>
        </is>
      </c>
      <c r="C7" s="9" t="inlineStr">
        <is>
          <t>STORE_DISPLAY_EVIDENCE_INCOMPLETE</t>
        </is>
      </c>
      <c r="D7" s="9" t="inlineStr">
        <is>
          <t>合同第4家“百佳华佳漾汇（新桥店）”未通过：照片缺失。
来源：核销资料-诚成26年4月【堆头20家】/堆头照片/4.新桥百佳华.jpg</t>
        </is>
      </c>
      <c r="E7" s="9" t="inlineStr">
        <is>
          <t>暂不支持该店1000.00元费用。</t>
        </is>
      </c>
      <c r="F7" s="9" t="inlineStr">
        <is>
          <t>如制度要求原始定位证明，补充含EXIF/GPS的原始未压缩照片。；补齐缺失原始照片文件</t>
        </is>
      </c>
    </row>
    <row r="8">
      <c r="A8" s="9" t="n">
        <v>5</v>
      </c>
      <c r="B8" s="9" t="inlineStr">
        <is>
          <t>high</t>
        </is>
      </c>
      <c r="C8" s="9" t="inlineStr">
        <is>
          <t>STORE_DISPLAY_EVIDENCE_INCOMPLETE</t>
        </is>
      </c>
      <c r="D8" s="9" t="inlineStr">
        <is>
          <t>合同第5家“华都超市（东坑大道北店）”未通过：照片缺失。
来源：核销资料-诚成26年4月【堆头20家】/堆头照片/5.华都超市(东坑大道北店).jpg</t>
        </is>
      </c>
      <c r="E8" s="9" t="inlineStr">
        <is>
          <t>暂不支持该店1000.00元费用。</t>
        </is>
      </c>
      <c r="F8" s="9" t="inlineStr">
        <is>
          <t>如制度要求原始定位证明，补充含EXIF/GPS的原始未压缩照片。；补齐缺失原始照片文件</t>
        </is>
      </c>
    </row>
    <row r="9">
      <c r="A9" s="9" t="n">
        <v>6</v>
      </c>
      <c r="B9" s="9" t="inlineStr">
        <is>
          <t>high</t>
        </is>
      </c>
      <c r="C9" s="9" t="inlineStr">
        <is>
          <t>STORE_DISPLAY_EVIDENCE_INCOMPLETE</t>
        </is>
      </c>
      <c r="D9" s="9" t="inlineStr">
        <is>
          <t>合同第6家“金大福（东浦金正和总店）”未通过：照片缺失、期间未通过、门店未匹配、陈列标准未通过。
来源：核销资料-诚成26年4月【堆头20家】/堆头照片/6.东浦金正和.jpg</t>
        </is>
      </c>
      <c r="E9" s="9" t="inlineStr">
        <is>
          <t>暂不支持该店1000.00元费用。</t>
        </is>
      </c>
      <c r="F9" s="9" t="inlineStr">
        <is>
          <t>补充活动期内带可见日期、完整门店名称/地点水印的现场全景原图。；补充能清楚证明1平方米占地或至少4纵陈列的宽角度照片/尺寸标识。；补齐缺失原始照片文件</t>
        </is>
      </c>
    </row>
    <row r="10">
      <c r="A10" s="9" t="n">
        <v>7</v>
      </c>
      <c r="B10" s="9" t="inlineStr">
        <is>
          <t>high</t>
        </is>
      </c>
      <c r="C10" s="9" t="inlineStr">
        <is>
          <t>STORE_DISPLAY_EVIDENCE_INCOMPLETE</t>
        </is>
      </c>
      <c r="D10" s="9" t="inlineStr">
        <is>
          <t>合同第7家“古原千禧（U·ONE 优城店）”未通过：照片缺失。
来源：核销资料-诚成26年4月【堆头20家】/堆头照片/7.宝安优城店.jpg</t>
        </is>
      </c>
      <c r="E10" s="9" t="inlineStr">
        <is>
          <t>暂不支持该店1000.00元费用。</t>
        </is>
      </c>
      <c r="F10" s="9" t="inlineStr">
        <is>
          <t>如需严格名称一致，补充U·ONE优城店与水印“古原千禧(优城店)”的门店编码或地址映射。；补齐缺失原始照片文件</t>
        </is>
      </c>
    </row>
    <row r="11">
      <c r="A11" s="9" t="n">
        <v>8</v>
      </c>
      <c r="B11" s="9" t="inlineStr">
        <is>
          <t>high</t>
        </is>
      </c>
      <c r="C11" s="9" t="inlineStr">
        <is>
          <t>STORE_DISPLAY_EVIDENCE_INCOMPLETE</t>
        </is>
      </c>
      <c r="D11" s="9" t="inlineStr">
        <is>
          <t>合同第8家“虎门家家欣”未通过：照片缺失。
来源：核销资料-诚成26年4月【堆头20家】/堆头照片/8.虎门赤岗家家欣.jpg</t>
        </is>
      </c>
      <c r="E11" s="9" t="inlineStr">
        <is>
          <t>暂不支持该店1000.00元费用。</t>
        </is>
      </c>
      <c r="F11" s="9" t="inlineStr">
        <is>
          <t>补充“虎门家家欣”与“赤岗家家欣商场”的地址、门店编码或组织关系证明。；补齐缺失原始照片文件</t>
        </is>
      </c>
    </row>
    <row r="12">
      <c r="A12" s="9" t="n">
        <v>9</v>
      </c>
      <c r="B12" s="9" t="inlineStr">
        <is>
          <t>high</t>
        </is>
      </c>
      <c r="C12" s="9" t="inlineStr">
        <is>
          <t>STORE_DISPLAY_EVIDENCE_INCOMPLETE</t>
        </is>
      </c>
      <c r="D12" s="9" t="inlineStr">
        <is>
          <t>合同第9家“花都宜多”未通过：照片缺失。
来源：核销资料-诚成26年4月【堆头20家】/堆头照片/9.花都宜多.jpg</t>
        </is>
      </c>
      <c r="E12" s="9" t="inlineStr">
        <is>
          <t>暂不支持该店1000.00元费用。</t>
        </is>
      </c>
      <c r="F12" s="9" t="inlineStr">
        <is>
          <t>补充“花都宜多”与“炭步宜多百货”的门店编码或地址映射。；补齐缺失原始照片文件</t>
        </is>
      </c>
    </row>
    <row r="13">
      <c r="A13" s="9" t="n">
        <v>10</v>
      </c>
      <c r="B13" s="9" t="inlineStr">
        <is>
          <t>high</t>
        </is>
      </c>
      <c r="C13" s="9" t="inlineStr">
        <is>
          <t>STORE_DISPLAY_EVIDENCE_INCOMPLETE</t>
        </is>
      </c>
      <c r="D13" s="9" t="inlineStr">
        <is>
          <t>合同第10家“挺拇指生活超市（横沥店）”未通过：照片缺失、门店未匹配。
来源：核销资料-诚成26年4月【堆头20家】/堆头照片/10-1挺拇指生活超市(横沥店).jpg、核销资料-诚成26年4月【堆头20家】/堆头照片/10-2挺拇指生活超市(横沥店).jpg</t>
        </is>
      </c>
      <c r="E13" s="9" t="inlineStr">
        <is>
          <t>暂不支持该店1000.00元费用。</t>
        </is>
      </c>
      <c r="F13" s="9" t="inlineStr">
        <is>
          <t>补充“挺拇指生活超市(横沥店)”位于或更名自“南铭购物乐园”的正式地址/门店映射，或提供带合同门店名称水印的现场照片。；补齐缺失原始照片文件</t>
        </is>
      </c>
    </row>
    <row r="14">
      <c r="A14" s="9" t="n">
        <v>11</v>
      </c>
      <c r="B14" s="9" t="inlineStr">
        <is>
          <t>high</t>
        </is>
      </c>
      <c r="C14" s="9" t="inlineStr">
        <is>
          <t>STORE_DISPLAY_EVIDENCE_INCOMPLETE</t>
        </is>
      </c>
      <c r="D14" s="9" t="inlineStr">
        <is>
          <t>合同第11家“人人购物广场荟和二店”未通过：照片缺失、门店未匹配。
来源：核销资料-诚成26年4月【堆头20家】/堆头照片/11.人人购物荟和超市.jpg</t>
        </is>
      </c>
      <c r="E14" s="9" t="inlineStr">
        <is>
          <t>暂不支持该店1000.00元费用。</t>
        </is>
      </c>
      <c r="F14" s="9" t="inlineStr">
        <is>
          <t>补充“荟和二店”与“人人购物同乐店”的门店编码、地址或更名证明，或提供合同门店对应照片。；补齐缺失原始照片文件</t>
        </is>
      </c>
    </row>
    <row r="15">
      <c r="A15" s="9" t="n">
        <v>12</v>
      </c>
      <c r="B15" s="9" t="inlineStr">
        <is>
          <t>high</t>
        </is>
      </c>
      <c r="C15" s="9" t="inlineStr">
        <is>
          <t>STORE_DISPLAY_EVIDENCE_INCOMPLETE</t>
        </is>
      </c>
      <c r="D15" s="9" t="inlineStr">
        <is>
          <t>合同第12家“三乐购物广场（森扬商业广场店）”未通过：照片缺失。
来源：核销资料-诚成26年4月【堆头20家】/堆头照片/12.三乐购物广场(森扬商业广场店).jpg</t>
        </is>
      </c>
      <c r="E15" s="9" t="inlineStr">
        <is>
          <t>暂不支持该店1000.00元费用。</t>
        </is>
      </c>
      <c r="F15" s="9" t="inlineStr">
        <is>
          <t>如制度要求原始定位证明，补充含EXIF/GPS的原始未压缩照片。；补齐缺失原始照片文件</t>
        </is>
      </c>
    </row>
    <row r="16">
      <c r="A16" s="9" t="n">
        <v>13</v>
      </c>
      <c r="B16" s="9" t="inlineStr">
        <is>
          <t>high</t>
        </is>
      </c>
      <c r="C16" s="9" t="inlineStr">
        <is>
          <t>STORE_DISPLAY_EVIDENCE_INCOMPLETE</t>
        </is>
      </c>
      <c r="D16" s="9" t="inlineStr">
        <is>
          <t>合同第13家“沙井九龙”未通过：照片缺失。
来源：核销资料-诚成26年4月【堆头20家】/堆头照片/13.沙井九龙.jpg</t>
        </is>
      </c>
      <c r="E16" s="9" t="inlineStr">
        <is>
          <t>暂不支持该店1000.00元费用。</t>
        </is>
      </c>
      <c r="F16" s="9" t="inlineStr">
        <is>
          <t>如需严格名称一致，补充“沙井九龙”与“九龙购物中心(宝安沙井店)”的门店编码或地址映射。；补齐缺失原始照片文件</t>
        </is>
      </c>
    </row>
    <row r="17">
      <c r="A17" s="9" t="n">
        <v>14</v>
      </c>
      <c r="B17" s="9" t="inlineStr">
        <is>
          <t>high</t>
        </is>
      </c>
      <c r="C17" s="9" t="inlineStr">
        <is>
          <t>STORE_DISPLAY_EVIDENCE_INCOMPLETE</t>
        </is>
      </c>
      <c r="D17" s="9" t="inlineStr">
        <is>
          <t>合同第14家“润家连锁超市（美联购物中心店）”未通过：照片缺失、门店未匹配。
来源：核销资料-诚成26年4月【堆头20家】/堆头照片/14.润家连锁超市(美联购物中心店).jpg</t>
        </is>
      </c>
      <c r="E17" s="9" t="inlineStr">
        <is>
          <t>暂不支持该店1000.00元费用。</t>
        </is>
      </c>
      <c r="F17" s="9" t="inlineStr">
        <is>
          <t>提供“深圳紫云快捷宾馆”定位与润家连锁超市(美联购物中心店)同址的权威地址证明，或重拍带合同门店地点水印的现场照片。；补齐缺失原始照片文件</t>
        </is>
      </c>
    </row>
    <row r="18">
      <c r="A18" s="9" t="n">
        <v>15</v>
      </c>
      <c r="B18" s="9" t="inlineStr">
        <is>
          <t>high</t>
        </is>
      </c>
      <c r="C18" s="9" t="inlineStr">
        <is>
          <t>STORE_DISPLAY_EVIDENCE_INCOMPLETE</t>
        </is>
      </c>
      <c r="D18" s="9" t="inlineStr">
        <is>
          <t>合同第15家“百佳华（石岩店）”未通过：照片缺失、门店未匹配。
来源：核销资料-诚成26年4月【堆头20家】/堆头照片/15。石岩百佳华.jpg</t>
        </is>
      </c>
      <c r="E18" s="9" t="inlineStr">
        <is>
          <t>暂不支持该店1000.00元费用。</t>
        </is>
      </c>
      <c r="F18" s="9" t="inlineStr">
        <is>
          <t>补充百佳华(石岩店)与“佳华豪苑”的权威地址/入驻关系证明，或提供带完整门店名地点水印的清晰原图。；补齐缺失原始照片文件</t>
        </is>
      </c>
    </row>
    <row r="19">
      <c r="A19" s="9" t="n">
        <v>16</v>
      </c>
      <c r="B19" s="9" t="inlineStr">
        <is>
          <t>high</t>
        </is>
      </c>
      <c r="C19" s="9" t="inlineStr">
        <is>
          <t>STORE_DISPLAY_EVIDENCE_INCOMPLETE</t>
        </is>
      </c>
      <c r="D19" s="9" t="inlineStr">
        <is>
          <t>合同第16家“田心金正和”未通过：照片缺失。
来源：核销资料-诚成26年4月【堆头20家】/堆头照片/16.田心金正和.jpg</t>
        </is>
      </c>
      <c r="E19" s="9" t="inlineStr">
        <is>
          <t>暂不支持该店1000.00元费用。</t>
        </is>
      </c>
      <c r="F19" s="9" t="inlineStr">
        <is>
          <t>如制度要求原始定位证明，补充含EXIF/GPS的原始未压缩照片。；补齐缺失原始照片文件</t>
        </is>
      </c>
    </row>
    <row r="20">
      <c r="A20" s="9" t="n">
        <v>17</v>
      </c>
      <c r="B20" s="9" t="inlineStr">
        <is>
          <t>high</t>
        </is>
      </c>
      <c r="C20" s="9" t="inlineStr">
        <is>
          <t>STORE_DISPLAY_EVIDENCE_INCOMPLETE</t>
        </is>
      </c>
      <c r="D20" s="9" t="inlineStr">
        <is>
          <t>合同第17家“荟和超市（莹展荟店）”未通过：照片缺失。
来源：核销资料-诚成26年4月【堆头20家】/堆头照片/17·荟和超市(莹展荟店).jpg</t>
        </is>
      </c>
      <c r="E20" s="9" t="inlineStr">
        <is>
          <t>暂不支持该店1000.00元费用。</t>
        </is>
      </c>
      <c r="F20" s="9" t="inlineStr">
        <is>
          <t>如制度要求原始定位证明，补充含EXIF/GPS的原始未压缩照片。；补齐缺失原始照片文件</t>
        </is>
      </c>
    </row>
    <row r="21">
      <c r="A21" s="9" t="n">
        <v>18</v>
      </c>
      <c r="B21" s="9" t="inlineStr">
        <is>
          <t>high</t>
        </is>
      </c>
      <c r="C21" s="9" t="inlineStr">
        <is>
          <t>STORE_DISPLAY_EVIDENCE_INCOMPLETE</t>
        </is>
      </c>
      <c r="D21" s="9" t="inlineStr">
        <is>
          <t>合同第18家“三乐购物广场（坦洲店）”未通过：照片缺失。
来源：核销资料-诚成26年4月【堆头20家】/堆头照片/18.三乐购物广场(坦洲店).jpg</t>
        </is>
      </c>
      <c r="E21" s="9" t="inlineStr">
        <is>
          <t>暂不支持该店1000.00元费用。</t>
        </is>
      </c>
      <c r="F21" s="9" t="inlineStr">
        <is>
          <t>如制度要求原始定位证明，补充含EXIF/GPS的原始未压缩照片。；补齐缺失原始照片文件</t>
        </is>
      </c>
    </row>
    <row r="22">
      <c r="A22" s="9" t="n">
        <v>19</v>
      </c>
      <c r="B22" s="9" t="inlineStr">
        <is>
          <t>high</t>
        </is>
      </c>
      <c r="C22" s="9" t="inlineStr">
        <is>
          <t>STORE_DISPLAY_EVIDENCE_INCOMPLETE</t>
        </is>
      </c>
      <c r="D22" s="9" t="inlineStr">
        <is>
          <t>合同第19家“大康惠福源商业广场”未通过：照片缺失。
来源：核销资料-诚成26年4月【堆头20家】/堆头照片/19.福源大康惠.jpg</t>
        </is>
      </c>
      <c r="E22" s="9" t="inlineStr">
        <is>
          <t>暂不支持该店1000.00元费用。</t>
        </is>
      </c>
      <c r="F22" s="9" t="inlineStr">
        <is>
          <t>补充“大康惠福源商业广场”与“福源商业广场”的门店/地址映射。；补齐缺失原始照片文件</t>
        </is>
      </c>
    </row>
    <row r="23">
      <c r="A23" s="9" t="n">
        <v>20</v>
      </c>
      <c r="B23" s="9" t="inlineStr">
        <is>
          <t>high</t>
        </is>
      </c>
      <c r="C23" s="9" t="inlineStr">
        <is>
          <t>STORE_DISPLAY_EVIDENCE_INCOMPLETE</t>
        </is>
      </c>
      <c r="D23" s="9" t="inlineStr">
        <is>
          <t>合同第20家“好多宝精选超市（龙眼市场店）”未通过：照片缺失。
来源：核销资料-诚成26年4月【堆头20家】/堆头照片/20.好多宝精选超市(龙眼市场店).jpg</t>
        </is>
      </c>
      <c r="E23" s="9" t="inlineStr">
        <is>
          <t>暂不支持该店1000.00元费用。</t>
        </is>
      </c>
      <c r="F23" s="9" t="inlineStr">
        <is>
          <t>补充好多宝精选超市(龙眼市场店)在“龙眼市场(龙眼路)”的门店编码、地址或入驻证明。；补齐缺失原始照片文件</t>
        </is>
      </c>
    </row>
    <row r="24">
      <c r="A24" s="7" t="n">
        <v>21</v>
      </c>
      <c r="B24" s="7" t="inlineStr">
        <is>
          <t>medium</t>
        </is>
      </c>
      <c r="C24" s="7" t="inlineStr">
        <is>
          <t>PHOTO_ORIGINAL_METADATA_ABSENT</t>
        </is>
      </c>
      <c r="D24" s="7" t="inlineStr">
        <is>
          <t>照片缺少可用的EXIF拍摄时间或GPS，主要依赖画面水印。</t>
        </is>
      </c>
      <c r="E24" s="7" t="inlineStr">
        <is>
          <t>无法从原始文件元数据独立验证拍摄时空。</t>
        </is>
      </c>
      <c r="F24" s="7" t="inlineStr">
        <is>
          <t>保留原始拍摄文件，或补充平台定位/签到记录。</t>
        </is>
      </c>
    </row>
    <row r="25">
      <c r="A25" s="7" t="n">
        <v>22</v>
      </c>
      <c r="B25" s="7" t="inlineStr">
        <is>
          <t>medium</t>
        </is>
      </c>
      <c r="C25" s="7" t="inlineStr">
        <is>
          <t>SALES_DATA_NOT_STORE_LEVEL</t>
        </is>
      </c>
      <c r="D25" s="7" t="inlineStr">
        <is>
          <t>销售Excel为经销商汇总，不能拆分到合同中的各门店。
来源：C:\Users\EDY\Desktop\新建文件夹\offline-activity-audit\input\.prepared\20260814-live-003\sources\promotional_display\核销资料-诚成26年4月【堆头20家】\2026年4月销售明细20260509164207765.xlsx</t>
        </is>
      </c>
      <c r="E25" s="7" t="inlineStr">
        <is>
          <t>销售数据只能证明活动期总体销售，不能独立证明逐店执行。</t>
        </is>
      </c>
      <c r="F25" s="7" t="inlineStr">
        <is>
          <t>如政策要求逐店销售佐证，补交门店级POS或出库明细。</t>
        </is>
      </c>
    </row>
    <row r="26">
      <c r="A26" s="7" t="n">
        <v>23</v>
      </c>
      <c r="B26" s="7" t="inlineStr">
        <is>
          <t>medium</t>
        </is>
      </c>
      <c r="C26" s="7" t="inlineStr">
        <is>
          <t>SALES_EXCEL_EXTERNAL_LINKS</t>
        </is>
      </c>
      <c r="D26" s="7" t="inlineStr">
        <is>
          <t>销售Excel有36个公式引用缺失的外部工作簿。
来源：H10,H11,H16,H17,H21,H22,H27,H30,H31,H33,H34,H9,L11,L13,L14,L15,L16,L17,L2,L20</t>
        </is>
      </c>
      <c r="E26" s="7" t="inlineStr">
        <is>
          <t>部分单位或零售价无法在当前文件内独立重算。</t>
        </is>
      </c>
      <c r="F26" s="7" t="inlineStr">
        <is>
          <t>补交被引用主数据或将外链转为可追溯静态值。</t>
        </is>
      </c>
    </row>
  </sheetData>
  <autoFilter ref="A3:F2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2026-08-14T09:17:59Z</dcterms:created>
  <dcterms:modified xmlns:dcterms="http://purl.org/dc/terms/" xmlns:xsi="http://www.w3.org/2001/XMLSchema-instance" xsi:type="dcterms:W3CDTF">2026-08-14T09:17:59Z</dcterms:modified>
</cp:coreProperties>
</file>