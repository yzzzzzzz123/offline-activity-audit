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激励核销" sheetId="1" state="visible" r:id="rId1"/>
    <sheet xmlns:r="http://schemas.openxmlformats.org/officeDocument/2006/relationships" name="堆头核销" sheetId="2" state="visible" r:id="rId2"/>
  </sheets>
  <definedNames>
    <definedName name="_xlnm.Print_Titles" localSheetId="0">'人员激励核销'!$1:$8</definedName>
    <definedName name="_xlnm.Print_Titles" localSheetId="1">'堆头核销'!$1:$8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666666"/>
      <sz val="9"/>
    </font>
    <font>
      <name val="Microsoft YaHei"/>
      <color rgb="00555555"/>
      <sz val="9"/>
    </font>
    <font>
      <name val="Microsoft YaHei"/>
      <b val="1"/>
      <color rgb="00FFFFFF"/>
      <sz val="12"/>
    </font>
    <font>
      <name val="Microsoft YaHei"/>
      <b val="1"/>
      <color rgb="00FFFFFF"/>
      <sz val="10"/>
    </font>
    <font>
      <name val="Microsoft YaHei"/>
      <color rgb="000000FF"/>
      <sz val="10"/>
    </font>
    <font>
      <name val="Microsoft YaHei"/>
      <color rgb="00000000"/>
      <sz val="10"/>
    </font>
    <font>
      <name val="Microsoft YaHei"/>
      <b val="1"/>
      <color rgb="00000000"/>
      <sz val="10"/>
    </font>
    <font>
      <name val="Microsoft YaHei"/>
      <b val="1"/>
      <color rgb="0017365D"/>
      <sz val="9"/>
    </font>
    <font>
      <name val="Microsoft YaHei"/>
      <b val="1"/>
      <color rgb="00000000"/>
      <sz val="14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3F8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9" fillId="7" borderId="0" applyAlignment="1" pivotButton="0" quotePrefix="0" xfId="0">
      <alignment horizontal="center" vertical="center"/>
    </xf>
    <xf numFmtId="4" fontId="10" fillId="8" borderId="0" applyAlignment="1" pivotButton="0" quotePrefix="0" xfId="0">
      <alignment horizontal="center" vertical="center" wrapText="1"/>
    </xf>
    <xf numFmtId="4" fontId="10" fillId="5" borderId="0" applyAlignment="1" pivotButton="0" quotePrefix="0" xfId="0">
      <alignment horizontal="center" vertical="center" wrapText="1"/>
    </xf>
    <xf numFmtId="4" fontId="10" fillId="6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4" fontId="6" fillId="0" borderId="1" applyAlignment="1" pivotButton="0" quotePrefix="0" xfId="0">
      <alignment vertical="top" wrapText="1"/>
    </xf>
    <xf numFmtId="4" fontId="7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M173"/>
  <sheetViews>
    <sheetView showGridLines="0" zoomScale="7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38" customWidth="1" min="4" max="4"/>
    <col width="20" customWidth="1" min="5" max="5"/>
    <col width="15" customWidth="1" min="6" max="6"/>
    <col width="13" customWidth="1" min="7" max="7"/>
    <col width="13" customWidth="1" min="8" max="8"/>
    <col width="17" customWidth="1" min="9" max="9"/>
    <col width="17" customWidth="1" min="10" max="10"/>
    <col width="15" customWidth="1" min="11" max="11"/>
    <col width="18" customWidth="1" min="12" max="12"/>
    <col width="52" customWidth="1" min="13" max="13"/>
  </cols>
  <sheetData>
    <row r="1" ht="28" customHeight="1">
      <c r="A1" s="1" t="inlineStr">
        <is>
          <t>人员激励核销：文件读取、逐SKU、逐门店转账与最终结论</t>
        </is>
      </c>
    </row>
    <row r="2" ht="42" customHeight="1">
      <c r="A2" s="2" t="inlineStr">
        <is>
          <t>阅读顺序：销售Excel底层行 → 最终结算单10行 → 逐SKU 1:1数量/金额 → 门店应付与转账截图 → 1.4.1与补证。</t>
        </is>
      </c>
    </row>
    <row r="3" ht="20" customHeight="1">
      <c r="A3" s="3" t="inlineStr">
        <is>
          <t>结算/申请金额（元）</t>
        </is>
      </c>
      <c r="D3" s="3" t="inlineStr">
        <is>
          <t>证据支持金额（元）</t>
        </is>
      </c>
      <c r="G3" s="3" t="inlineStr">
        <is>
          <t>建议通过金额（元）</t>
        </is>
      </c>
      <c r="J3" s="3" t="inlineStr">
        <is>
          <t>暂挂金额（元）</t>
        </is>
      </c>
    </row>
    <row r="4" ht="30" customHeight="1">
      <c r="A4" s="4" t="n">
        <v>7350</v>
      </c>
      <c r="D4" s="5">
        <f>MIN(L40,F127)</f>
        <v/>
      </c>
      <c r="G4" s="5">
        <f>MIN(A4,D4)</f>
        <v/>
      </c>
      <c r="J4" s="6">
        <f>A4-G4</f>
        <v/>
      </c>
    </row>
    <row r="6" ht="20" customHeight="1">
      <c r="A6" s="3" t="inlineStr">
        <is>
          <t>结算SKU</t>
        </is>
      </c>
      <c r="D6" s="3" t="inlineStr">
        <is>
          <t>逐SKU数量通过</t>
        </is>
      </c>
      <c r="G6" s="3" t="inlineStr">
        <is>
          <t>异常/待说明</t>
        </is>
      </c>
      <c r="J6" s="3" t="inlineStr">
        <is>
          <t>最终结论</t>
        </is>
      </c>
    </row>
    <row r="7" ht="30" customHeight="1">
      <c r="A7" s="7" t="inlineStr">
        <is>
          <t>10个</t>
        </is>
      </c>
      <c r="D7" s="8" t="inlineStr">
        <is>
          <t>10/10</t>
        </is>
      </c>
      <c r="G7" s="9" t="inlineStr">
        <is>
          <t>5项</t>
        </is>
      </c>
      <c r="J7" s="7" t="inlineStr">
        <is>
          <t>待补件（金额可通过）</t>
        </is>
      </c>
    </row>
    <row r="8" ht="30" customHeight="1">
      <c r="A8" s="10" t="inlineStr">
        <is>
          <t>运行ID：20260814-two-sheet-001　案件：SQ202604300025-HX202605260014-郑州雨瑶-人员激励　活动期：2026-05-01 至 2026-05-20　核心原则：结算单没有条码时保留商品映射依据和置信度，不能只看总金额。</t>
        </is>
      </c>
    </row>
    <row r="9" ht="24" customHeight="1">
      <c r="A9" s="11" t="inlineStr">
        <is>
          <t>核销步骤总览</t>
        </is>
      </c>
    </row>
    <row r="10" ht="42" customHeight="1">
      <c r="A10" s="12" t="inlineStr">
        <is>
          <t>每一步都列明读什么、怎样计算、与什么比较以及本步限制。</t>
        </is>
      </c>
    </row>
    <row r="11" ht="30" customHeight="1">
      <c r="A11" s="13" t="inlineStr">
        <is>
          <t>步骤</t>
        </is>
      </c>
      <c r="B11" s="13" t="inlineStr">
        <is>
          <t>读取文件</t>
        </is>
      </c>
      <c r="D11" s="13" t="inlineStr">
        <is>
          <t>读取内容</t>
        </is>
      </c>
      <c r="F11" s="13" t="inlineStr">
        <is>
          <t>处理/计算</t>
        </is>
      </c>
      <c r="H11" s="13" t="inlineStr">
        <is>
          <t>对比对象</t>
        </is>
      </c>
      <c r="J11" s="13" t="inlineStr">
        <is>
          <t>本步结果</t>
        </is>
      </c>
      <c r="L11" s="13" t="inlineStr">
        <is>
          <t>结论/限制</t>
        </is>
      </c>
    </row>
    <row r="12" ht="66" customHeight="1">
      <c r="A12" s="14" t="n">
        <v>1</v>
      </c>
      <c r="B12" s="14" t="inlineStr">
        <is>
          <t>雨瑶人员激励参半销售数据2.xlsx</t>
        </is>
      </c>
      <c r="D12" s="14" t="inlineStr">
        <is>
          <t>Sheet1有效销售行；期间、门店、条码、商品、数量、单价、金额</t>
        </is>
      </c>
      <c r="F12" s="14" t="inlineStr">
        <is>
          <t>跳过空白/小计/合计并保留原Excel行号；按条码、门店汇总</t>
        </is>
      </c>
      <c r="H12" s="14" t="inlineStr">
        <is>
          <t>销售Excel自身明细与合计</t>
        </is>
      </c>
      <c r="J12" s="14" t="inlineStr">
        <is>
          <t>70行、7家、10个SKU、数量2451</t>
        </is>
      </c>
      <c r="L12" s="14" t="inlineStr">
        <is>
          <t>销售数量是结算核验的底层来源</t>
        </is>
      </c>
    </row>
    <row r="13" ht="66" customHeight="1">
      <c r="A13" s="14" t="n">
        <v>2</v>
      </c>
      <c r="B13" s="14" t="inlineStr">
        <is>
          <t>郑州雨瑶5.1-5.20人员激励活动结算单.jpg</t>
        </is>
      </c>
      <c r="D13" s="14" t="inlineStr">
        <is>
          <t>客户、活动期、10个奖励商品、数量、奖励单价、行金额、总额、实际申报</t>
        </is>
      </c>
      <c r="F13" s="14" t="inlineStr">
        <is>
          <t>把结算单每一行作为独立核销对象</t>
        </is>
      </c>
      <c r="H13" s="14" t="inlineStr">
        <is>
          <t>结算单10行</t>
        </is>
      </c>
      <c r="J13" s="14" t="inlineStr">
        <is>
          <t>数量2451、行奖励7353元、申报7350元</t>
        </is>
      </c>
      <c r="L13" s="14" t="inlineStr">
        <is>
          <t>结算单无条码，名称映射须保留依据</t>
        </is>
      </c>
    </row>
    <row r="14" ht="66" customHeight="1">
      <c r="A14" s="14" t="n">
        <v>3</v>
      </c>
      <c r="B14" s="14" t="inlineStr">
        <is>
          <t>销售Excel + 最终结算单</t>
        </is>
      </c>
      <c r="D14" s="14" t="inlineStr">
        <is>
          <t>结算每行与Excel唯一条码及全部来源行</t>
        </is>
      </c>
      <c r="F14" s="14" t="inlineStr">
        <is>
          <t>7家门店同条码数量求和；计算数量×奖励单价</t>
        </is>
      </c>
      <c r="H14" s="14" t="inlineStr">
        <is>
          <t>10个结算SKU ↔ 10个Excel条码</t>
        </is>
      </c>
      <c r="J14" s="14" t="inlineStr">
        <is>
          <t>10/10个数量匹配，计算奖励7353元</t>
        </is>
      </c>
      <c r="L14" s="14" t="inlineStr">
        <is>
          <t>中置信度映射仍需条码/主数据补证</t>
        </is>
      </c>
    </row>
    <row r="15" ht="66" customHeight="1">
      <c r="A15" s="14" t="n">
        <v>4</v>
      </c>
      <c r="B15" s="14" t="inlineStr">
        <is>
          <t>雨瑶人员激励红包图片.jpg、雨瑶人员激励红包图片2.jpg</t>
        </is>
      </c>
      <c r="D15" s="14" t="inlineStr">
        <is>
          <t>金额气泡、方向、身份、日期和镜像画面</t>
        </is>
      </c>
      <c r="F15" s="14" t="inlineStr">
        <is>
          <t>发送/接收镜像合并为transfer_id；比较金额集合</t>
        </is>
      </c>
      <c r="H15" s="14" t="inlineStr">
        <is>
          <t>7家门店应付 ↔ 7笔去重转账</t>
        </is>
      </c>
      <c r="J15" s="14" t="inlineStr">
        <is>
          <t>转账合计7353元</t>
        </is>
      </c>
      <c r="L15" s="14" t="inlineStr">
        <is>
          <t>金额相同不证明收款门店身份或日期</t>
        </is>
      </c>
    </row>
    <row r="16" ht="66" customHeight="1">
      <c r="A16" s="14" t="n">
        <v>5</v>
      </c>
      <c r="B16" s="14" t="inlineStr">
        <is>
          <t>上述全部材料</t>
        </is>
      </c>
      <c r="D16" s="14" t="inlineStr">
        <is>
          <t>逐SKU、逐门店、逐转账、真实性与合规性证据</t>
        </is>
      </c>
      <c r="F16" s="14" t="inlineStr">
        <is>
          <t>先计算证据支持金额，再与申报金额比较</t>
        </is>
      </c>
      <c r="H16" s="14" t="inlineStr">
        <is>
          <t>申报金额 ↔ 证据支持金额</t>
        </is>
      </c>
      <c r="J16" s="14" t="inlineStr">
        <is>
          <t>建议通过7350元、暂挂0元</t>
        </is>
      </c>
      <c r="L16" s="14" t="inlineStr">
        <is>
          <t>异常和补证要求在本页末尾列示</t>
        </is>
      </c>
    </row>
    <row r="18" ht="24" customHeight="1">
      <c r="A18" s="11" t="inlineStr">
        <is>
          <t>一、读取了哪些文件、读到了什么</t>
        </is>
      </c>
    </row>
    <row r="19" ht="42" customHeight="1">
      <c r="A19" s="12" t="inlineStr">
        <is>
          <t>每个原始文件单独列示来源、读取字段、读取结果和后续比对对象；SHA-256只固定收到后的文件身份。</t>
        </is>
      </c>
    </row>
    <row r="20" ht="30" customHeight="1">
      <c r="A20" s="13" t="inlineStr">
        <is>
          <t>序号</t>
        </is>
      </c>
      <c r="B20" s="13" t="inlineStr">
        <is>
          <t>来源ZIP</t>
        </is>
      </c>
      <c r="D20" s="13" t="inlineStr">
        <is>
          <t>压缩包内文件</t>
        </is>
      </c>
      <c r="G20" s="13" t="inlineStr">
        <is>
          <t>文件角色</t>
        </is>
      </c>
      <c r="H20" s="13" t="inlineStr">
        <is>
          <t>具体读取位置/字段</t>
        </is>
      </c>
      <c r="J20" s="13" t="inlineStr">
        <is>
          <t>读取结果/数据量</t>
        </is>
      </c>
      <c r="L20" s="13" t="inlineStr">
        <is>
          <t>后续比对工作</t>
        </is>
      </c>
      <c r="M20" s="13" t="inlineStr">
        <is>
          <t>大小与文件SHA-256</t>
        </is>
      </c>
    </row>
    <row r="21" outlineLevel="1" ht="78" customHeight="1">
      <c r="A21" s="14" t="n">
        <v>1</v>
      </c>
      <c r="B21" s="14" t="inlineStr">
        <is>
          <t>SQ202604300025-HX202605260014-郑州雨瑶-人员激励.zip</t>
        </is>
      </c>
      <c r="D21" s="14" t="inlineStr">
        <is>
          <t>（ZIP输入包本身）</t>
        </is>
      </c>
      <c r="G21" s="14" t="inlineStr">
        <is>
          <t>输入压缩包</t>
        </is>
      </c>
      <c r="H21" s="14" t="inlineStr">
        <is>
          <t>检查路径穿越、符号链接、加密、重名、文件数、大小和压缩比。</t>
        </is>
      </c>
      <c r="J21" s="14" t="inlineStr">
        <is>
          <t>安全解压4个文件，共1045724字节。</t>
        </is>
      </c>
      <c r="L21" s="14" t="inlineStr">
        <is>
          <t>固定收到的材料范围并路由到人员激励Skill。</t>
        </is>
      </c>
      <c r="M21" s="14" t="inlineStr">
        <is>
          <t>970,440字节
d0f5754effbd4ad45db4d048da9dfd9c69bfebfc957cff78c7c15420c298a15f</t>
        </is>
      </c>
    </row>
    <row r="22" outlineLevel="1" ht="78" customHeight="1">
      <c r="A22" s="14" t="n">
        <v>2</v>
      </c>
      <c r="B22" s="14" t="inlineStr">
        <is>
          <t>SQ202604300025-HX202605260014-郑州雨瑶-人员激励.zip</t>
        </is>
      </c>
      <c r="D22" s="14" t="inlineStr">
        <is>
          <t>郑州雨瑶5.1-5.20人员激励活动结算单.jpg</t>
        </is>
      </c>
      <c r="G22" s="14" t="inlineStr">
        <is>
          <t>最终结算单</t>
        </is>
      </c>
      <c r="H22" s="14" t="inlineStr">
        <is>
          <t>按原图读取客户、活动期间、每个奖励单品、销售数量、奖励单价、行奖励金额、总数量、总奖励、实际申报、盖章和签署日期。</t>
        </is>
      </c>
      <c r="J22" s="14" t="inlineStr">
        <is>
          <t>取得10条结算行；逐行映射销售Excel唯一条码，再比较数量和奖励金额。</t>
        </is>
      </c>
      <c r="L22" s="14" t="inlineStr">
        <is>
          <t>与销售Excel逐SKU比较数量和奖励；与转账总额比较。</t>
        </is>
      </c>
      <c r="M22" s="14" t="inlineStr">
        <is>
          <t>645,182字节
898a8061a91af8d681ccdb650b43a07a42b96272407ba249dd64dc53b4bbc4e6</t>
        </is>
      </c>
    </row>
    <row r="23" outlineLevel="1" ht="78" customHeight="1">
      <c r="A23" s="14" t="n">
        <v>3</v>
      </c>
      <c r="B23" s="14" t="inlineStr">
        <is>
          <t>SQ202604300025-HX202605260014-郑州雨瑶-人员激励.zip</t>
        </is>
      </c>
      <c r="D23" s="14" t="inlineStr">
        <is>
          <t>雨瑶人员激励参半销售数据2.xlsx</t>
        </is>
      </c>
      <c r="G23" s="14" t="inlineStr">
        <is>
          <t>销售Excel</t>
        </is>
      </c>
      <c r="H23" s="14" t="inlineStr">
        <is>
          <t>工作表Sheet1；表头第1行；读取期间、门店、条码、商品、数量、单价和金额公式；保留原Excel行号。</t>
        </is>
      </c>
      <c r="J23" s="14" t="inlineStr">
        <is>
          <t>有效明细70行、7家门店、10个SKU；按条码汇总后与最终结算单10行逐项比较。</t>
        </is>
      </c>
      <c r="L23" s="14" t="inlineStr">
        <is>
          <t>与最终结算单逐SKU比较数量；按门店汇总应付奖励。</t>
        </is>
      </c>
      <c r="M23" s="14" t="inlineStr">
        <is>
          <t>14,391字节
5e1ac08e1c79fd721e2f0dcf60e09763452943309163bb2079e424b77837b5a6</t>
        </is>
      </c>
    </row>
    <row r="24" outlineLevel="1" ht="78" customHeight="1">
      <c r="A24" s="14" t="n">
        <v>4</v>
      </c>
      <c r="B24" s="14" t="inlineStr">
        <is>
          <t>SQ202604300025-HX202605260014-郑州雨瑶-人员激励.zip</t>
        </is>
      </c>
      <c r="D24" s="14" t="inlineStr">
        <is>
          <t>雨瑶人员激励红包图片.jpg</t>
        </is>
      </c>
      <c r="G24" s="14" t="inlineStr">
        <is>
          <t>转账截图</t>
        </is>
      </c>
      <c r="H24" s="14" t="inlineStr">
        <is>
          <t>读取每个金额气泡、发送/接收方向、可见收款身份、可见日期和同一转账的镜像画面关系。</t>
        </is>
      </c>
      <c r="J24" s="14" t="inlineStr">
        <is>
          <t>两张截图合并为7笔去重转账；与7家门店应付金额集合比较，身份和日期另行判定。</t>
        </is>
      </c>
      <c r="L24" s="14" t="inlineStr">
        <is>
          <t>去重后与7家门店应付金额集合比较，并单独检查身份和日期。</t>
        </is>
      </c>
      <c r="M24" s="14" t="inlineStr">
        <is>
          <t>194,094字节
8aeda7f356dcf9123086cb55e6e60b4fc2049bfeaf784513dffcffa6f15b2529</t>
        </is>
      </c>
    </row>
    <row r="25" outlineLevel="1" ht="78" customHeight="1">
      <c r="A25" s="14" t="n">
        <v>5</v>
      </c>
      <c r="B25" s="14" t="inlineStr">
        <is>
          <t>SQ202604300025-HX202605260014-郑州雨瑶-人员激励.zip</t>
        </is>
      </c>
      <c r="D25" s="14" t="inlineStr">
        <is>
          <t>雨瑶人员激励红包图片2.jpg</t>
        </is>
      </c>
      <c r="G25" s="14" t="inlineStr">
        <is>
          <t>转账截图</t>
        </is>
      </c>
      <c r="H25" s="14" t="inlineStr">
        <is>
          <t>读取每个金额气泡、发送/接收方向、可见收款身份、可见日期和同一转账的镜像画面关系。</t>
        </is>
      </c>
      <c r="J25" s="14" t="inlineStr">
        <is>
          <t>两张截图合并为7笔去重转账；与7家门店应付金额集合比较，身份和日期另行判定。</t>
        </is>
      </c>
      <c r="L25" s="14" t="inlineStr">
        <is>
          <t>去重后与7家门店应付金额集合比较，并单独检查身份和日期。</t>
        </is>
      </c>
      <c r="M25" s="14" t="inlineStr">
        <is>
          <t>192,057字节
de4aa8f6d75027e207571fcf365ed5d805a350ff7622b45f29bc7d803db8c8ca</t>
        </is>
      </c>
    </row>
    <row r="27" ht="24" customHeight="1">
      <c r="A27" s="11" t="inlineStr">
        <is>
          <t>二、销售Excel与最终结算单逐SKU 1:1比对</t>
        </is>
      </c>
    </row>
    <row r="28" ht="42" customHeight="1">
      <c r="A28" s="12" t="inlineStr">
        <is>
          <t>结算来源：郑州雨瑶5.1-5.20人员激励活动结算单.jpg；销售来源：雨瑶人员激励参半销售数据2.xlsx。</t>
        </is>
      </c>
    </row>
    <row r="29" ht="30" customHeight="1">
      <c r="A29" s="13" t="inlineStr">
        <is>
          <t>结算行</t>
        </is>
      </c>
      <c r="B29" s="13" t="inlineStr">
        <is>
          <t>结算单读取商品</t>
        </is>
      </c>
      <c r="C29" s="13" t="inlineStr">
        <is>
          <t>结算数量</t>
        </is>
      </c>
      <c r="D29" s="13" t="inlineStr">
        <is>
          <t>销售Excel读取（条码/商品）</t>
        </is>
      </c>
      <c r="E29" s="13" t="inlineStr">
        <is>
          <t>Excel来源行</t>
        </is>
      </c>
      <c r="F29" s="13" t="inlineStr">
        <is>
          <t>Excel汇总数量</t>
        </is>
      </c>
      <c r="G29" s="13" t="inlineStr">
        <is>
          <t>数量差异</t>
        </is>
      </c>
      <c r="H29" s="13" t="inlineStr">
        <is>
          <t>奖励单价</t>
        </is>
      </c>
      <c r="I29" s="13" t="inlineStr">
        <is>
          <t>Excel计算奖励</t>
        </is>
      </c>
      <c r="J29" s="13" t="inlineStr">
        <is>
          <t>结算行奖励</t>
        </is>
      </c>
      <c r="K29" s="13" t="inlineStr">
        <is>
          <t>金额差异</t>
        </is>
      </c>
      <c r="L29" s="13" t="inlineStr">
        <is>
          <t>证据支持金额</t>
        </is>
      </c>
      <c r="M29" s="13" t="inlineStr">
        <is>
          <t>结论/映射依据</t>
        </is>
      </c>
    </row>
    <row r="30" ht="78" customHeight="1">
      <c r="A30" s="14" t="n">
        <v>1</v>
      </c>
      <c r="B30" s="14" t="inlineStr">
        <is>
          <t>羟基磷灰石修复牙膏</t>
        </is>
      </c>
      <c r="C30" s="15" t="n">
        <v>238</v>
      </c>
      <c r="D30" s="14" t="inlineStr">
        <is>
          <t>6970356166832
参半羟基磷灰石牙膏100g满陇桂雨味</t>
        </is>
      </c>
      <c r="E30" s="14" t="inlineStr">
        <is>
          <t>5,17,29,41,53,65,77</t>
        </is>
      </c>
      <c r="F30" s="15" t="n">
        <v>238</v>
      </c>
      <c r="G30" s="16">
        <f>F30-C30</f>
        <v/>
      </c>
      <c r="H30" s="17" t="n">
        <v>3</v>
      </c>
      <c r="I30" s="18">
        <f>F30*H30</f>
        <v/>
      </c>
      <c r="J30" s="17" t="n">
        <v>714</v>
      </c>
      <c r="K30" s="18">
        <f>J30-I30</f>
        <v/>
      </c>
      <c r="L30" s="18">
        <f>MAX(0,MIN(C30,F30))*H30</f>
        <v/>
      </c>
      <c r="M30" s="19" t="inlineStr">
        <is>
          <t>数量匹配；金额匹配；映射置信度高
结算单无条码；按商品核心名称在销售Excel中唯一映射。</t>
        </is>
      </c>
    </row>
    <row r="31" ht="78" customHeight="1">
      <c r="A31" s="14" t="n">
        <v>2</v>
      </c>
      <c r="B31" s="14" t="inlineStr">
        <is>
          <t>沸石净齿牙膏</t>
        </is>
      </c>
      <c r="C31" s="15" t="n">
        <v>275</v>
      </c>
      <c r="D31" s="14" t="inlineStr">
        <is>
          <t>6970356162391
参半沸石净齿牙膏140g清新苍兰</t>
        </is>
      </c>
      <c r="E31" s="14" t="inlineStr">
        <is>
          <t>6,18,30,42,54,66,78</t>
        </is>
      </c>
      <c r="F31" s="15" t="n">
        <v>275</v>
      </c>
      <c r="G31" s="16">
        <f>F31-C31</f>
        <v/>
      </c>
      <c r="H31" s="17" t="n">
        <v>3</v>
      </c>
      <c r="I31" s="18">
        <f>F31*H31</f>
        <v/>
      </c>
      <c r="J31" s="17" t="n">
        <v>825</v>
      </c>
      <c r="K31" s="18">
        <f>J31-I31</f>
        <v/>
      </c>
      <c r="L31" s="18">
        <f>MAX(0,MIN(C31,F31))*H31</f>
        <v/>
      </c>
      <c r="M31" s="19" t="inlineStr">
        <is>
          <t>数量匹配；金额匹配；映射置信度高
结算单无条码；按商品核心名称在销售Excel中唯一映射。</t>
        </is>
      </c>
    </row>
    <row r="32" ht="78" customHeight="1">
      <c r="A32" s="14" t="n">
        <v>3</v>
      </c>
      <c r="B32" s="14" t="inlineStr">
        <is>
          <t>沸石美白牙膏</t>
        </is>
      </c>
      <c r="C32" s="15" t="n">
        <v>284</v>
      </c>
      <c r="D32" s="14" t="inlineStr">
        <is>
          <t>6970356162810
参半沸石美白牙膏140g海角雏菊</t>
        </is>
      </c>
      <c r="E32" s="14" t="inlineStr">
        <is>
          <t>7,19,31,43,55,67,79</t>
        </is>
      </c>
      <c r="F32" s="15" t="n">
        <v>284</v>
      </c>
      <c r="G32" s="16">
        <f>F32-C32</f>
        <v/>
      </c>
      <c r="H32" s="17" t="n">
        <v>3</v>
      </c>
      <c r="I32" s="18">
        <f>F32*H32</f>
        <v/>
      </c>
      <c r="J32" s="17" t="n">
        <v>852</v>
      </c>
      <c r="K32" s="18">
        <f>J32-I32</f>
        <v/>
      </c>
      <c r="L32" s="18">
        <f>MAX(0,MIN(C32,F32))*H32</f>
        <v/>
      </c>
      <c r="M32" s="19" t="inlineStr">
        <is>
          <t>数量匹配；金额匹配；映射置信度高
结算单无条码；按商品核心名称在销售Excel中唯一映射。</t>
        </is>
      </c>
    </row>
    <row r="33" ht="78" customHeight="1">
      <c r="A33" s="14" t="n">
        <v>4</v>
      </c>
      <c r="B33" s="14" t="inlineStr">
        <is>
          <t>1+2臻白套盒</t>
        </is>
      </c>
      <c r="C33" s="15" t="n">
        <v>226</v>
      </c>
      <c r="D33" s="14" t="inlineStr">
        <is>
          <t>6970356164388
参半臻白牙膏1+2特享装</t>
        </is>
      </c>
      <c r="E33" s="14" t="inlineStr">
        <is>
          <t>2,14,26,38,50,62,74</t>
        </is>
      </c>
      <c r="F33" s="15" t="n">
        <v>226</v>
      </c>
      <c r="G33" s="16">
        <f>F33-C33</f>
        <v/>
      </c>
      <c r="H33" s="17" t="n">
        <v>3</v>
      </c>
      <c r="I33" s="18">
        <f>F33*H33</f>
        <v/>
      </c>
      <c r="J33" s="17" t="n">
        <v>678</v>
      </c>
      <c r="K33" s="18">
        <f>J33-I33</f>
        <v/>
      </c>
      <c r="L33" s="18">
        <f>MAX(0,MIN(C33,F33))*H33</f>
        <v/>
      </c>
      <c r="M33" s="19" t="inlineStr">
        <is>
          <t>数量匹配；金额匹配；映射置信度高
结算单无条码；按商品核心名称在销售Excel中唯一映射。</t>
        </is>
      </c>
    </row>
    <row r="34" ht="78" customHeight="1">
      <c r="A34" s="14" t="n">
        <v>5</v>
      </c>
      <c r="B34" s="14" t="inlineStr">
        <is>
          <t>光白酵素1+1超值装牙膏</t>
        </is>
      </c>
      <c r="C34" s="15" t="n">
        <v>225</v>
      </c>
      <c r="D34" s="14" t="inlineStr">
        <is>
          <t>6970356164395
参半极光白酵素1+1超值装牙膏(极光白160g+龙井100g)</t>
        </is>
      </c>
      <c r="E34" s="14" t="inlineStr">
        <is>
          <t>8,20,32,44,56,68,80</t>
        </is>
      </c>
      <c r="F34" s="15" t="n">
        <v>225</v>
      </c>
      <c r="G34" s="16">
        <f>F34-C34</f>
        <v/>
      </c>
      <c r="H34" s="17" t="n">
        <v>3</v>
      </c>
      <c r="I34" s="18">
        <f>F34*H34</f>
        <v/>
      </c>
      <c r="J34" s="17" t="n">
        <v>675</v>
      </c>
      <c r="K34" s="18">
        <f>J34-I34</f>
        <v/>
      </c>
      <c r="L34" s="18">
        <f>MAX(0,MIN(C34,F34))*H34</f>
        <v/>
      </c>
      <c r="M34" s="19" t="inlineStr">
        <is>
          <t>数量匹配；金额匹配；映射置信度高
结算单无条码；按商品核心名称在销售Excel中唯一映射。</t>
        </is>
      </c>
    </row>
    <row r="35" ht="78" customHeight="1">
      <c r="A35" s="14" t="n">
        <v>6</v>
      </c>
      <c r="B35" s="14" t="inlineStr">
        <is>
          <t>可益白牙膏葡萄知梨牙膏</t>
        </is>
      </c>
      <c r="C35" s="15" t="n">
        <v>252</v>
      </c>
      <c r="D35" s="14" t="inlineStr">
        <is>
          <t>6970356169338
参半可益白牙膏葡萄知梨120g</t>
        </is>
      </c>
      <c r="E35" s="14" t="inlineStr">
        <is>
          <t>10,22,34,46,58,70,82</t>
        </is>
      </c>
      <c r="F35" s="15" t="n">
        <v>252</v>
      </c>
      <c r="G35" s="16">
        <f>F35-C35</f>
        <v/>
      </c>
      <c r="H35" s="17" t="n">
        <v>3</v>
      </c>
      <c r="I35" s="18">
        <f>F35*H35</f>
        <v/>
      </c>
      <c r="J35" s="17" t="n">
        <v>756</v>
      </c>
      <c r="K35" s="18">
        <f>J35-I35</f>
        <v/>
      </c>
      <c r="L35" s="18">
        <f>MAX(0,MIN(C35,F35))*H35</f>
        <v/>
      </c>
      <c r="M35" s="19" t="inlineStr">
        <is>
          <t>数量匹配；金额匹配；映射置信度高
结算单无条码；按商品核心名称在销售Excel中唯一映射。</t>
        </is>
      </c>
    </row>
    <row r="36" ht="78" customHeight="1">
      <c r="A36" s="14" t="n">
        <v>7</v>
      </c>
      <c r="B36" s="14" t="inlineStr">
        <is>
          <t>可益清牙膏葡见茶爽牙膏</t>
        </is>
      </c>
      <c r="C36" s="15" t="n">
        <v>239</v>
      </c>
      <c r="D36" s="14" t="inlineStr">
        <is>
          <t>6970356169321
参半可益清牙膏葡见茶爽120g</t>
        </is>
      </c>
      <c r="E36" s="14" t="inlineStr">
        <is>
          <t>11,23,35,47,59,71,83</t>
        </is>
      </c>
      <c r="F36" s="15" t="n">
        <v>239</v>
      </c>
      <c r="G36" s="16">
        <f>F36-C36</f>
        <v/>
      </c>
      <c r="H36" s="17" t="n">
        <v>3</v>
      </c>
      <c r="I36" s="18">
        <f>F36*H36</f>
        <v/>
      </c>
      <c r="J36" s="17" t="n">
        <v>717</v>
      </c>
      <c r="K36" s="18">
        <f>J36-I36</f>
        <v/>
      </c>
      <c r="L36" s="18">
        <f>MAX(0,MIN(C36,F36))*H36</f>
        <v/>
      </c>
      <c r="M36" s="19" t="inlineStr">
        <is>
          <t>数量匹配；金额匹配；映射置信度高
结算单无条码；按商品核心名称在销售Excel中唯一映射。</t>
        </is>
      </c>
    </row>
    <row r="37" ht="78" customHeight="1">
      <c r="A37" s="14" t="n">
        <v>8</v>
      </c>
      <c r="B37" s="14" t="inlineStr">
        <is>
          <t>专研清新美白牙膏</t>
        </is>
      </c>
      <c r="C37" s="15" t="n">
        <v>278</v>
      </c>
      <c r="D37" s="14" t="inlineStr">
        <is>
          <t>6970356162636
参半专研清新美白牙膏100g</t>
        </is>
      </c>
      <c r="E37" s="14" t="inlineStr">
        <is>
          <t>9,21,33,45,57,69,81</t>
        </is>
      </c>
      <c r="F37" s="15" t="n">
        <v>278</v>
      </c>
      <c r="G37" s="16">
        <f>F37-C37</f>
        <v/>
      </c>
      <c r="H37" s="17" t="n">
        <v>3</v>
      </c>
      <c r="I37" s="18">
        <f>F37*H37</f>
        <v/>
      </c>
      <c r="J37" s="17" t="n">
        <v>834</v>
      </c>
      <c r="K37" s="18">
        <f>J37-I37</f>
        <v/>
      </c>
      <c r="L37" s="18">
        <f>MAX(0,MIN(C37,F37))*H37</f>
        <v/>
      </c>
      <c r="M37" s="19" t="inlineStr">
        <is>
          <t>数量匹配；金额匹配；映射置信度高
结算单无条码；按商品核心名称在销售Excel中唯一映射。</t>
        </is>
      </c>
    </row>
    <row r="38" ht="78" customHeight="1">
      <c r="A38" s="14" t="n">
        <v>9</v>
      </c>
      <c r="B38" s="14" t="inlineStr">
        <is>
          <t>SP-4 美白牙膏</t>
        </is>
      </c>
      <c r="C38" s="15" t="n">
        <v>190</v>
      </c>
      <c r="D38" s="14" t="inlineStr">
        <is>
          <t>6970356164289
参半美白牙膏120g香域茉莉味</t>
        </is>
      </c>
      <c r="E38" s="14" t="inlineStr">
        <is>
          <t>4,16,28,40,52,64,76</t>
        </is>
      </c>
      <c r="F38" s="15" t="n">
        <v>190</v>
      </c>
      <c r="G38" s="16">
        <f>F38-C38</f>
        <v/>
      </c>
      <c r="H38" s="17" t="n">
        <v>3</v>
      </c>
      <c r="I38" s="18">
        <f>F38*H38</f>
        <v/>
      </c>
      <c r="J38" s="17" t="n">
        <v>570</v>
      </c>
      <c r="K38" s="18">
        <f>J38-I38</f>
        <v/>
      </c>
      <c r="L38" s="18">
        <f>MAX(0,MIN(C38,F38))*H38</f>
        <v/>
      </c>
      <c r="M38" s="20" t="inlineStr">
        <is>
          <t>数量匹配；金额匹配；映射置信度中
结算单使用SP-4别名，销售Excel未显示该别名；按一对一未映射SKU及汇总数量佐证，需补条码主数据。</t>
        </is>
      </c>
    </row>
    <row r="39" ht="78" customHeight="1">
      <c r="A39" s="14" t="n">
        <v>10</v>
      </c>
      <c r="B39" s="14" t="inlineStr">
        <is>
          <t>SP-4 清新牙膏</t>
        </is>
      </c>
      <c r="C39" s="15" t="n">
        <v>244</v>
      </c>
      <c r="D39" s="14" t="inlineStr">
        <is>
          <t>6970356164296
参半清新牙膏120g动感薄荷</t>
        </is>
      </c>
      <c r="E39" s="14" t="inlineStr">
        <is>
          <t>3,15,27,39,51,63,75</t>
        </is>
      </c>
      <c r="F39" s="15" t="n">
        <v>244</v>
      </c>
      <c r="G39" s="16">
        <f>F39-C39</f>
        <v/>
      </c>
      <c r="H39" s="17" t="n">
        <v>3</v>
      </c>
      <c r="I39" s="18">
        <f>F39*H39</f>
        <v/>
      </c>
      <c r="J39" s="17" t="n">
        <v>732</v>
      </c>
      <c r="K39" s="18">
        <f>J39-I39</f>
        <v/>
      </c>
      <c r="L39" s="18">
        <f>MAX(0,MIN(C39,F39))*H39</f>
        <v/>
      </c>
      <c r="M39" s="20" t="inlineStr">
        <is>
          <t>数量匹配；金额匹配；映射置信度中
结算单使用SP-4别名，销售Excel未显示该别名；按一对一未映射SKU及汇总数量佐证，需补条码主数据。</t>
        </is>
      </c>
    </row>
    <row r="40">
      <c r="A40" s="21" t="inlineStr">
        <is>
          <t>合计</t>
        </is>
      </c>
      <c r="B40" s="21" t="n"/>
      <c r="C40" s="21">
        <f>SUM(C30:C39)</f>
        <v/>
      </c>
      <c r="D40" s="21" t="n"/>
      <c r="E40" s="21" t="n"/>
      <c r="F40" s="21">
        <f>SUM(F30:F39)</f>
        <v/>
      </c>
      <c r="G40" s="21">
        <f>SUM(G30:G39)</f>
        <v/>
      </c>
      <c r="H40" s="21" t="n"/>
      <c r="I40" s="21">
        <f>SUM(I30:I39)</f>
        <v/>
      </c>
      <c r="J40" s="21">
        <f>SUM(J30:J39)</f>
        <v/>
      </c>
      <c r="K40" s="21">
        <f>SUM(K30:K39)</f>
        <v/>
      </c>
      <c r="L40" s="21">
        <f>SUM(L30:L39)</f>
        <v/>
      </c>
      <c r="M40" s="21" t="n"/>
    </row>
    <row r="42" ht="24" customHeight="1">
      <c r="A42" s="11" t="inlineStr">
        <is>
          <t>三、销售Excel 70条底层来源明细</t>
        </is>
      </c>
    </row>
    <row r="43" ht="42" customHeight="1">
      <c r="A43" s="12" t="inlineStr">
        <is>
          <t>来源：雨瑶人员激励参半销售数据2.xlsx / Sheet1。每一行保留原Excel行号并回指结算行。</t>
        </is>
      </c>
    </row>
    <row r="44" ht="30" customHeight="1">
      <c r="A44" s="13" t="inlineStr">
        <is>
          <t>Excel行</t>
        </is>
      </c>
      <c r="B44" s="13" t="inlineStr">
        <is>
          <t>期间</t>
        </is>
      </c>
      <c r="C44" s="13" t="inlineStr">
        <is>
          <t>门店</t>
        </is>
      </c>
      <c r="D44" s="13" t="inlineStr">
        <is>
          <t>条码</t>
        </is>
      </c>
      <c r="E44" s="13" t="inlineStr">
        <is>
          <t>Excel商品</t>
        </is>
      </c>
      <c r="F44" s="13" t="inlineStr">
        <is>
          <t>销售数量</t>
        </is>
      </c>
      <c r="G44" s="13" t="inlineStr">
        <is>
          <t>销售单价</t>
        </is>
      </c>
      <c r="H44" s="13" t="inlineStr">
        <is>
          <t>结算行</t>
        </is>
      </c>
      <c r="I44" s="13" t="inlineStr">
        <is>
          <t>结算商品</t>
        </is>
      </c>
      <c r="J44" s="13" t="inlineStr">
        <is>
          <t>奖励单价</t>
        </is>
      </c>
      <c r="K44" s="13" t="inlineStr">
        <is>
          <t>本行应付奖励</t>
        </is>
      </c>
    </row>
    <row r="45" outlineLevel="1" ht="30" customHeight="1">
      <c r="A45" s="14" t="n">
        <v>2</v>
      </c>
      <c r="B45" s="14" t="inlineStr">
        <is>
          <t>5.1-5.20</t>
        </is>
      </c>
      <c r="C45" s="14" t="inlineStr">
        <is>
          <t>云朵饰品</t>
        </is>
      </c>
      <c r="D45" s="14" t="inlineStr">
        <is>
          <t>6970356164388</t>
        </is>
      </c>
      <c r="E45" s="14" t="inlineStr">
        <is>
          <t>参半臻白牙膏1+2特享装</t>
        </is>
      </c>
      <c r="F45" s="15" t="n">
        <v>44</v>
      </c>
      <c r="G45" s="17" t="n">
        <v>29.9</v>
      </c>
      <c r="H45" s="14" t="n">
        <v>4</v>
      </c>
      <c r="I45" s="14" t="inlineStr">
        <is>
          <t>1+2臻白套盒</t>
        </is>
      </c>
      <c r="J45" s="17" t="n">
        <v>3</v>
      </c>
      <c r="K45" s="18">
        <f>F45*J45</f>
        <v/>
      </c>
    </row>
    <row r="46" outlineLevel="1" ht="30" customHeight="1">
      <c r="A46" s="14" t="n">
        <v>3</v>
      </c>
      <c r="B46" s="14" t="inlineStr">
        <is>
          <t>5.1-5.20</t>
        </is>
      </c>
      <c r="C46" s="14" t="inlineStr">
        <is>
          <t>云朵饰品</t>
        </is>
      </c>
      <c r="D46" s="14" t="inlineStr">
        <is>
          <t>6970356164296</t>
        </is>
      </c>
      <c r="E46" s="14" t="inlineStr">
        <is>
          <t>参半清新牙膏120g动感薄荷</t>
        </is>
      </c>
      <c r="F46" s="15" t="n">
        <v>47</v>
      </c>
      <c r="G46" s="17" t="n">
        <v>29.9</v>
      </c>
      <c r="H46" s="14" t="n">
        <v>10</v>
      </c>
      <c r="I46" s="14" t="inlineStr">
        <is>
          <t>SP-4 清新牙膏</t>
        </is>
      </c>
      <c r="J46" s="17" t="n">
        <v>3</v>
      </c>
      <c r="K46" s="18">
        <f>F46*J46</f>
        <v/>
      </c>
    </row>
    <row r="47" outlineLevel="1" ht="30" customHeight="1">
      <c r="A47" s="14" t="n">
        <v>4</v>
      </c>
      <c r="B47" s="14" t="inlineStr">
        <is>
          <t>5.1-5.20</t>
        </is>
      </c>
      <c r="C47" s="14" t="inlineStr">
        <is>
          <t>云朵饰品</t>
        </is>
      </c>
      <c r="D47" s="14" t="inlineStr">
        <is>
          <t>6970356164289</t>
        </is>
      </c>
      <c r="E47" s="14" t="inlineStr">
        <is>
          <t>参半美白牙膏120g香域茉莉味</t>
        </is>
      </c>
      <c r="F47" s="15" t="n">
        <v>36</v>
      </c>
      <c r="G47" s="17" t="n">
        <v>29.9</v>
      </c>
      <c r="H47" s="14" t="n">
        <v>9</v>
      </c>
      <c r="I47" s="14" t="inlineStr">
        <is>
          <t>SP-4 美白牙膏</t>
        </is>
      </c>
      <c r="J47" s="17" t="n">
        <v>3</v>
      </c>
      <c r="K47" s="18">
        <f>F47*J47</f>
        <v/>
      </c>
    </row>
    <row r="48" outlineLevel="1" ht="30" customHeight="1">
      <c r="A48" s="14" t="n">
        <v>5</v>
      </c>
      <c r="B48" s="14" t="inlineStr">
        <is>
          <t>5.1-5.20</t>
        </is>
      </c>
      <c r="C48" s="14" t="inlineStr">
        <is>
          <t>云朵饰品</t>
        </is>
      </c>
      <c r="D48" s="14" t="inlineStr">
        <is>
          <t>6970356166832</t>
        </is>
      </c>
      <c r="E48" s="14" t="inlineStr">
        <is>
          <t>参半羟基磷灰石牙膏100g满陇桂雨味</t>
        </is>
      </c>
      <c r="F48" s="15" t="n">
        <v>22</v>
      </c>
      <c r="G48" s="17" t="n">
        <v>24.9</v>
      </c>
      <c r="H48" s="14" t="n">
        <v>1</v>
      </c>
      <c r="I48" s="14" t="inlineStr">
        <is>
          <t>羟基磷灰石修复牙膏</t>
        </is>
      </c>
      <c r="J48" s="17" t="n">
        <v>3</v>
      </c>
      <c r="K48" s="18">
        <f>F48*J48</f>
        <v/>
      </c>
    </row>
    <row r="49" outlineLevel="1" ht="30" customHeight="1">
      <c r="A49" s="14" t="n">
        <v>6</v>
      </c>
      <c r="B49" s="14" t="inlineStr">
        <is>
          <t>5.1-5.20</t>
        </is>
      </c>
      <c r="C49" s="14" t="inlineStr">
        <is>
          <t>云朵饰品</t>
        </is>
      </c>
      <c r="D49" s="14" t="inlineStr">
        <is>
          <t>6970356162391</t>
        </is>
      </c>
      <c r="E49" s="14" t="inlineStr">
        <is>
          <t>参半沸石净齿牙膏140g清新苍兰</t>
        </is>
      </c>
      <c r="F49" s="15" t="n">
        <v>48</v>
      </c>
      <c r="G49" s="17" t="n">
        <v>29.9</v>
      </c>
      <c r="H49" s="14" t="n">
        <v>2</v>
      </c>
      <c r="I49" s="14" t="inlineStr">
        <is>
          <t>沸石净齿牙膏</t>
        </is>
      </c>
      <c r="J49" s="17" t="n">
        <v>3</v>
      </c>
      <c r="K49" s="18">
        <f>F49*J49</f>
        <v/>
      </c>
    </row>
    <row r="50" outlineLevel="1" ht="30" customHeight="1">
      <c r="A50" s="14" t="n">
        <v>7</v>
      </c>
      <c r="B50" s="14" t="inlineStr">
        <is>
          <t>5.1-5.20</t>
        </is>
      </c>
      <c r="C50" s="14" t="inlineStr">
        <is>
          <t>云朵饰品</t>
        </is>
      </c>
      <c r="D50" s="14" t="inlineStr">
        <is>
          <t>6970356162810</t>
        </is>
      </c>
      <c r="E50" s="14" t="inlineStr">
        <is>
          <t>参半沸石美白牙膏140g海角雏菊</t>
        </is>
      </c>
      <c r="F50" s="15" t="n">
        <v>60</v>
      </c>
      <c r="G50" s="17" t="n">
        <v>29.9</v>
      </c>
      <c r="H50" s="14" t="n">
        <v>3</v>
      </c>
      <c r="I50" s="14" t="inlineStr">
        <is>
          <t>沸石美白牙膏</t>
        </is>
      </c>
      <c r="J50" s="17" t="n">
        <v>3</v>
      </c>
      <c r="K50" s="18">
        <f>F50*J50</f>
        <v/>
      </c>
    </row>
    <row r="51" outlineLevel="1" ht="30" customHeight="1">
      <c r="A51" s="14" t="n">
        <v>8</v>
      </c>
      <c r="B51" s="14" t="inlineStr">
        <is>
          <t>5.1-5.20</t>
        </is>
      </c>
      <c r="C51" s="14" t="inlineStr">
        <is>
          <t>云朵饰品</t>
        </is>
      </c>
      <c r="D51" s="14" t="inlineStr">
        <is>
          <t>6970356164395</t>
        </is>
      </c>
      <c r="E51" s="14" t="inlineStr">
        <is>
          <t>参半极光白酵素1+1超值装牙膏(极光白160g+龙井100g)</t>
        </is>
      </c>
      <c r="F51" s="15" t="n">
        <v>28</v>
      </c>
      <c r="G51" s="17" t="n">
        <v>19.9</v>
      </c>
      <c r="H51" s="14" t="n">
        <v>5</v>
      </c>
      <c r="I51" s="14" t="inlineStr">
        <is>
          <t>光白酵素1+1超值装牙膏</t>
        </is>
      </c>
      <c r="J51" s="17" t="n">
        <v>3</v>
      </c>
      <c r="K51" s="18">
        <f>F51*J51</f>
        <v/>
      </c>
    </row>
    <row r="52" outlineLevel="1" ht="30" customHeight="1">
      <c r="A52" s="14" t="n">
        <v>9</v>
      </c>
      <c r="B52" s="14" t="inlineStr">
        <is>
          <t>5.1-5.20</t>
        </is>
      </c>
      <c r="C52" s="14" t="inlineStr">
        <is>
          <t>云朵饰品</t>
        </is>
      </c>
      <c r="D52" s="14" t="inlineStr">
        <is>
          <t>6970356162636</t>
        </is>
      </c>
      <c r="E52" s="14" t="inlineStr">
        <is>
          <t>参半专研清新美白牙膏100g</t>
        </is>
      </c>
      <c r="F52" s="15" t="n">
        <v>18</v>
      </c>
      <c r="G52" s="17" t="n">
        <v>29.9</v>
      </c>
      <c r="H52" s="14" t="n">
        <v>8</v>
      </c>
      <c r="I52" s="14" t="inlineStr">
        <is>
          <t>专研清新美白牙膏</t>
        </is>
      </c>
      <c r="J52" s="17" t="n">
        <v>3</v>
      </c>
      <c r="K52" s="18">
        <f>F52*J52</f>
        <v/>
      </c>
    </row>
    <row r="53" outlineLevel="1" ht="30" customHeight="1">
      <c r="A53" s="14" t="n">
        <v>10</v>
      </c>
      <c r="B53" s="14" t="inlineStr">
        <is>
          <t>5.1-5.20</t>
        </is>
      </c>
      <c r="C53" s="14" t="inlineStr">
        <is>
          <t>云朵饰品</t>
        </is>
      </c>
      <c r="D53" s="14" t="inlineStr">
        <is>
          <t>6970356169338</t>
        </is>
      </c>
      <c r="E53" s="14" t="inlineStr">
        <is>
          <t>参半可益白牙膏葡萄知梨120g</t>
        </is>
      </c>
      <c r="F53" s="15" t="n">
        <v>18</v>
      </c>
      <c r="G53" s="17" t="n">
        <v>29.9</v>
      </c>
      <c r="H53" s="14" t="n">
        <v>6</v>
      </c>
      <c r="I53" s="14" t="inlineStr">
        <is>
          <t>可益白牙膏葡萄知梨牙膏</t>
        </is>
      </c>
      <c r="J53" s="17" t="n">
        <v>3</v>
      </c>
      <c r="K53" s="18">
        <f>F53*J53</f>
        <v/>
      </c>
    </row>
    <row r="54" outlineLevel="1" ht="30" customHeight="1">
      <c r="A54" s="14" t="n">
        <v>11</v>
      </c>
      <c r="B54" s="14" t="inlineStr">
        <is>
          <t>5.1-5.20</t>
        </is>
      </c>
      <c r="C54" s="14" t="inlineStr">
        <is>
          <t>云朵饰品</t>
        </is>
      </c>
      <c r="D54" s="14" t="inlineStr">
        <is>
          <t>6970356169321</t>
        </is>
      </c>
      <c r="E54" s="14" t="inlineStr">
        <is>
          <t>参半可益清牙膏葡见茶爽120g</t>
        </is>
      </c>
      <c r="F54" s="15" t="n">
        <v>24</v>
      </c>
      <c r="G54" s="17" t="n">
        <v>29.9</v>
      </c>
      <c r="H54" s="14" t="n">
        <v>7</v>
      </c>
      <c r="I54" s="14" t="inlineStr">
        <is>
          <t>可益清牙膏葡见茶爽牙膏</t>
        </is>
      </c>
      <c r="J54" s="17" t="n">
        <v>3</v>
      </c>
      <c r="K54" s="18">
        <f>F54*J54</f>
        <v/>
      </c>
    </row>
    <row r="55" outlineLevel="1" ht="30" customHeight="1">
      <c r="A55" s="14" t="n">
        <v>14</v>
      </c>
      <c r="B55" s="14" t="inlineStr">
        <is>
          <t>5.1-5.20</t>
        </is>
      </c>
      <c r="C55" s="14" t="inlineStr">
        <is>
          <t>红梅名妆</t>
        </is>
      </c>
      <c r="D55" s="14" t="inlineStr">
        <is>
          <t>6970356164388</t>
        </is>
      </c>
      <c r="E55" s="14" t="inlineStr">
        <is>
          <t>参半臻白牙膏1+2特享装</t>
        </is>
      </c>
      <c r="F55" s="15" t="n">
        <v>42</v>
      </c>
      <c r="G55" s="17" t="n">
        <v>29.9</v>
      </c>
      <c r="H55" s="14" t="n">
        <v>4</v>
      </c>
      <c r="I55" s="14" t="inlineStr">
        <is>
          <t>1+2臻白套盒</t>
        </is>
      </c>
      <c r="J55" s="17" t="n">
        <v>3</v>
      </c>
      <c r="K55" s="18">
        <f>F55*J55</f>
        <v/>
      </c>
    </row>
    <row r="56" outlineLevel="1" ht="30" customHeight="1">
      <c r="A56" s="14" t="n">
        <v>15</v>
      </c>
      <c r="B56" s="14" t="inlineStr">
        <is>
          <t>5.1-5.20</t>
        </is>
      </c>
      <c r="C56" s="14" t="inlineStr">
        <is>
          <t>红梅名妆</t>
        </is>
      </c>
      <c r="D56" s="14" t="inlineStr">
        <is>
          <t>6970356164296</t>
        </is>
      </c>
      <c r="E56" s="14" t="inlineStr">
        <is>
          <t>参半清新牙膏120g动感薄荷</t>
        </is>
      </c>
      <c r="F56" s="15" t="n">
        <v>23</v>
      </c>
      <c r="G56" s="17" t="n">
        <v>29.9</v>
      </c>
      <c r="H56" s="14" t="n">
        <v>10</v>
      </c>
      <c r="I56" s="14" t="inlineStr">
        <is>
          <t>SP-4 清新牙膏</t>
        </is>
      </c>
      <c r="J56" s="17" t="n">
        <v>3</v>
      </c>
      <c r="K56" s="18">
        <f>F56*J56</f>
        <v/>
      </c>
    </row>
    <row r="57" outlineLevel="1" ht="30" customHeight="1">
      <c r="A57" s="14" t="n">
        <v>16</v>
      </c>
      <c r="B57" s="14" t="inlineStr">
        <is>
          <t>5.1-5.20</t>
        </is>
      </c>
      <c r="C57" s="14" t="inlineStr">
        <is>
          <t>红梅名妆</t>
        </is>
      </c>
      <c r="D57" s="14" t="inlineStr">
        <is>
          <t>6970356164289</t>
        </is>
      </c>
      <c r="E57" s="14" t="inlineStr">
        <is>
          <t>参半美白牙膏120g香域茉莉味</t>
        </is>
      </c>
      <c r="F57" s="15" t="n">
        <v>24</v>
      </c>
      <c r="G57" s="17" t="n">
        <v>29.9</v>
      </c>
      <c r="H57" s="14" t="n">
        <v>9</v>
      </c>
      <c r="I57" s="14" t="inlineStr">
        <is>
          <t>SP-4 美白牙膏</t>
        </is>
      </c>
      <c r="J57" s="17" t="n">
        <v>3</v>
      </c>
      <c r="K57" s="18">
        <f>F57*J57</f>
        <v/>
      </c>
    </row>
    <row r="58" outlineLevel="1" ht="30" customHeight="1">
      <c r="A58" s="14" t="n">
        <v>17</v>
      </c>
      <c r="B58" s="14" t="inlineStr">
        <is>
          <t>5.1-5.20</t>
        </is>
      </c>
      <c r="C58" s="14" t="inlineStr">
        <is>
          <t>红梅名妆</t>
        </is>
      </c>
      <c r="D58" s="14" t="inlineStr">
        <is>
          <t>6970356166832</t>
        </is>
      </c>
      <c r="E58" s="14" t="inlineStr">
        <is>
          <t>参半羟基磷灰石牙膏100g满陇桂雨味</t>
        </is>
      </c>
      <c r="F58" s="15" t="n">
        <v>48</v>
      </c>
      <c r="G58" s="17" t="n">
        <v>24.9</v>
      </c>
      <c r="H58" s="14" t="n">
        <v>1</v>
      </c>
      <c r="I58" s="14" t="inlineStr">
        <is>
          <t>羟基磷灰石修复牙膏</t>
        </is>
      </c>
      <c r="J58" s="17" t="n">
        <v>3</v>
      </c>
      <c r="K58" s="18">
        <f>F58*J58</f>
        <v/>
      </c>
    </row>
    <row r="59" outlineLevel="1" ht="30" customHeight="1">
      <c r="A59" s="14" t="n">
        <v>18</v>
      </c>
      <c r="B59" s="14" t="inlineStr">
        <is>
          <t>5.1-5.20</t>
        </is>
      </c>
      <c r="C59" s="14" t="inlineStr">
        <is>
          <t>红梅名妆</t>
        </is>
      </c>
      <c r="D59" s="14" t="inlineStr">
        <is>
          <t>6970356162391</t>
        </is>
      </c>
      <c r="E59" s="14" t="inlineStr">
        <is>
          <t>参半沸石净齿牙膏140g清新苍兰</t>
        </is>
      </c>
      <c r="F59" s="15" t="n">
        <v>28</v>
      </c>
      <c r="G59" s="17" t="n">
        <v>29.9</v>
      </c>
      <c r="H59" s="14" t="n">
        <v>2</v>
      </c>
      <c r="I59" s="14" t="inlineStr">
        <is>
          <t>沸石净齿牙膏</t>
        </is>
      </c>
      <c r="J59" s="17" t="n">
        <v>3</v>
      </c>
      <c r="K59" s="18">
        <f>F59*J59</f>
        <v/>
      </c>
    </row>
    <row r="60" outlineLevel="1" ht="30" customHeight="1">
      <c r="A60" s="14" t="n">
        <v>19</v>
      </c>
      <c r="B60" s="14" t="inlineStr">
        <is>
          <t>5.1-5.20</t>
        </is>
      </c>
      <c r="C60" s="14" t="inlineStr">
        <is>
          <t>红梅名妆</t>
        </is>
      </c>
      <c r="D60" s="14" t="inlineStr">
        <is>
          <t>6970356162810</t>
        </is>
      </c>
      <c r="E60" s="14" t="inlineStr">
        <is>
          <t>参半沸石美白牙膏140g海角雏菊</t>
        </is>
      </c>
      <c r="F60" s="15" t="n">
        <v>36</v>
      </c>
      <c r="G60" s="17" t="n">
        <v>29.9</v>
      </c>
      <c r="H60" s="14" t="n">
        <v>3</v>
      </c>
      <c r="I60" s="14" t="inlineStr">
        <is>
          <t>沸石美白牙膏</t>
        </is>
      </c>
      <c r="J60" s="17" t="n">
        <v>3</v>
      </c>
      <c r="K60" s="18">
        <f>F60*J60</f>
        <v/>
      </c>
    </row>
    <row r="61" outlineLevel="1" ht="30" customHeight="1">
      <c r="A61" s="14" t="n">
        <v>20</v>
      </c>
      <c r="B61" s="14" t="inlineStr">
        <is>
          <t>5.1-5.20</t>
        </is>
      </c>
      <c r="C61" s="14" t="inlineStr">
        <is>
          <t>红梅名妆</t>
        </is>
      </c>
      <c r="D61" s="14" t="inlineStr">
        <is>
          <t>6970356164395</t>
        </is>
      </c>
      <c r="E61" s="14" t="inlineStr">
        <is>
          <t>参半极光白酵素1+1超值装牙膏(极光白160g+龙井100g)</t>
        </is>
      </c>
      <c r="F61" s="15" t="n">
        <v>42</v>
      </c>
      <c r="G61" s="17" t="n">
        <v>19.9</v>
      </c>
      <c r="H61" s="14" t="n">
        <v>5</v>
      </c>
      <c r="I61" s="14" t="inlineStr">
        <is>
          <t>光白酵素1+1超值装牙膏</t>
        </is>
      </c>
      <c r="J61" s="17" t="n">
        <v>3</v>
      </c>
      <c r="K61" s="18">
        <f>F61*J61</f>
        <v/>
      </c>
    </row>
    <row r="62" outlineLevel="1" ht="30" customHeight="1">
      <c r="A62" s="14" t="n">
        <v>21</v>
      </c>
      <c r="B62" s="14" t="inlineStr">
        <is>
          <t>5.1-5.20</t>
        </is>
      </c>
      <c r="C62" s="14" t="inlineStr">
        <is>
          <t>红梅名妆</t>
        </is>
      </c>
      <c r="D62" s="14" t="inlineStr">
        <is>
          <t>6970356162636</t>
        </is>
      </c>
      <c r="E62" s="14" t="inlineStr">
        <is>
          <t>参半专研清新美白牙膏100g</t>
        </is>
      </c>
      <c r="F62" s="15" t="n">
        <v>36</v>
      </c>
      <c r="G62" s="17" t="n">
        <v>29.9</v>
      </c>
      <c r="H62" s="14" t="n">
        <v>8</v>
      </c>
      <c r="I62" s="14" t="inlineStr">
        <is>
          <t>专研清新美白牙膏</t>
        </is>
      </c>
      <c r="J62" s="17" t="n">
        <v>3</v>
      </c>
      <c r="K62" s="18">
        <f>F62*J62</f>
        <v/>
      </c>
    </row>
    <row r="63" outlineLevel="1" ht="30" customHeight="1">
      <c r="A63" s="14" t="n">
        <v>22</v>
      </c>
      <c r="B63" s="14" t="inlineStr">
        <is>
          <t>5.1-5.20</t>
        </is>
      </c>
      <c r="C63" s="14" t="inlineStr">
        <is>
          <t>红梅名妆</t>
        </is>
      </c>
      <c r="D63" s="14" t="inlineStr">
        <is>
          <t>6970356169338</t>
        </is>
      </c>
      <c r="E63" s="14" t="inlineStr">
        <is>
          <t>参半可益白牙膏葡萄知梨120g</t>
        </is>
      </c>
      <c r="F63" s="15" t="n">
        <v>36</v>
      </c>
      <c r="G63" s="17" t="n">
        <v>29.9</v>
      </c>
      <c r="H63" s="14" t="n">
        <v>6</v>
      </c>
      <c r="I63" s="14" t="inlineStr">
        <is>
          <t>可益白牙膏葡萄知梨牙膏</t>
        </is>
      </c>
      <c r="J63" s="17" t="n">
        <v>3</v>
      </c>
      <c r="K63" s="18">
        <f>F63*J63</f>
        <v/>
      </c>
    </row>
    <row r="64" outlineLevel="1" ht="30" customHeight="1">
      <c r="A64" s="14" t="n">
        <v>23</v>
      </c>
      <c r="B64" s="14" t="inlineStr">
        <is>
          <t>5.1-5.20</t>
        </is>
      </c>
      <c r="C64" s="14" t="inlineStr">
        <is>
          <t>红梅名妆</t>
        </is>
      </c>
      <c r="D64" s="14" t="inlineStr">
        <is>
          <t>6970356169321</t>
        </is>
      </c>
      <c r="E64" s="14" t="inlineStr">
        <is>
          <t>参半可益清牙膏葡见茶爽120g</t>
        </is>
      </c>
      <c r="F64" s="15" t="n">
        <v>37</v>
      </c>
      <c r="G64" s="17" t="n">
        <v>29.9</v>
      </c>
      <c r="H64" s="14" t="n">
        <v>7</v>
      </c>
      <c r="I64" s="14" t="inlineStr">
        <is>
          <t>可益清牙膏葡见茶爽牙膏</t>
        </is>
      </c>
      <c r="J64" s="17" t="n">
        <v>3</v>
      </c>
      <c r="K64" s="18">
        <f>F64*J64</f>
        <v/>
      </c>
    </row>
    <row r="65" outlineLevel="1" ht="30" customHeight="1">
      <c r="A65" s="14" t="n">
        <v>26</v>
      </c>
      <c r="B65" s="14" t="inlineStr">
        <is>
          <t>5.1-5.20</t>
        </is>
      </c>
      <c r="C65" s="14" t="inlineStr">
        <is>
          <t>丽源名妆</t>
        </is>
      </c>
      <c r="D65" s="14" t="inlineStr">
        <is>
          <t>6970356164388</t>
        </is>
      </c>
      <c r="E65" s="14" t="inlineStr">
        <is>
          <t>参半臻白牙膏1+2特享装</t>
        </is>
      </c>
      <c r="F65" s="15" t="n">
        <v>18</v>
      </c>
      <c r="G65" s="17" t="n">
        <v>29.9</v>
      </c>
      <c r="H65" s="14" t="n">
        <v>4</v>
      </c>
      <c r="I65" s="14" t="inlineStr">
        <is>
          <t>1+2臻白套盒</t>
        </is>
      </c>
      <c r="J65" s="17" t="n">
        <v>3</v>
      </c>
      <c r="K65" s="18">
        <f>F65*J65</f>
        <v/>
      </c>
    </row>
    <row r="66" outlineLevel="1" ht="30" customHeight="1">
      <c r="A66" s="14" t="n">
        <v>27</v>
      </c>
      <c r="B66" s="14" t="inlineStr">
        <is>
          <t>5.1-5.20</t>
        </is>
      </c>
      <c r="C66" s="14" t="inlineStr">
        <is>
          <t>丽源名妆</t>
        </is>
      </c>
      <c r="D66" s="14" t="inlineStr">
        <is>
          <t>6970356164296</t>
        </is>
      </c>
      <c r="E66" s="14" t="inlineStr">
        <is>
          <t>参半清新牙膏120g动感薄荷</t>
        </is>
      </c>
      <c r="F66" s="15" t="n">
        <v>48</v>
      </c>
      <c r="G66" s="17" t="n">
        <v>29.9</v>
      </c>
      <c r="H66" s="14" t="n">
        <v>10</v>
      </c>
      <c r="I66" s="14" t="inlineStr">
        <is>
          <t>SP-4 清新牙膏</t>
        </is>
      </c>
      <c r="J66" s="17" t="n">
        <v>3</v>
      </c>
      <c r="K66" s="18">
        <f>F66*J66</f>
        <v/>
      </c>
    </row>
    <row r="67" outlineLevel="1" ht="30" customHeight="1">
      <c r="A67" s="14" t="n">
        <v>28</v>
      </c>
      <c r="B67" s="14" t="inlineStr">
        <is>
          <t>5.1-5.20</t>
        </is>
      </c>
      <c r="C67" s="14" t="inlineStr">
        <is>
          <t>丽源名妆</t>
        </is>
      </c>
      <c r="D67" s="14" t="inlineStr">
        <is>
          <t>6970356164289</t>
        </is>
      </c>
      <c r="E67" s="14" t="inlineStr">
        <is>
          <t>参半美白牙膏120g香域茉莉味</t>
        </is>
      </c>
      <c r="F67" s="15" t="n">
        <v>24</v>
      </c>
      <c r="G67" s="17" t="n">
        <v>29.9</v>
      </c>
      <c r="H67" s="14" t="n">
        <v>9</v>
      </c>
      <c r="I67" s="14" t="inlineStr">
        <is>
          <t>SP-4 美白牙膏</t>
        </is>
      </c>
      <c r="J67" s="17" t="n">
        <v>3</v>
      </c>
      <c r="K67" s="18">
        <f>F67*J67</f>
        <v/>
      </c>
    </row>
    <row r="68" outlineLevel="1" ht="30" customHeight="1">
      <c r="A68" s="14" t="n">
        <v>29</v>
      </c>
      <c r="B68" s="14" t="inlineStr">
        <is>
          <t>5.1-5.20</t>
        </is>
      </c>
      <c r="C68" s="14" t="inlineStr">
        <is>
          <t>丽源名妆</t>
        </is>
      </c>
      <c r="D68" s="14" t="inlineStr">
        <is>
          <t>6970356166832</t>
        </is>
      </c>
      <c r="E68" s="14" t="inlineStr">
        <is>
          <t>参半羟基磷灰石牙膏100g满陇桂雨味</t>
        </is>
      </c>
      <c r="F68" s="15" t="n">
        <v>27</v>
      </c>
      <c r="G68" s="17" t="n">
        <v>24.9</v>
      </c>
      <c r="H68" s="14" t="n">
        <v>1</v>
      </c>
      <c r="I68" s="14" t="inlineStr">
        <is>
          <t>羟基磷灰石修复牙膏</t>
        </is>
      </c>
      <c r="J68" s="17" t="n">
        <v>3</v>
      </c>
      <c r="K68" s="18">
        <f>F68*J68</f>
        <v/>
      </c>
    </row>
    <row r="69" outlineLevel="1" ht="30" customHeight="1">
      <c r="A69" s="14" t="n">
        <v>30</v>
      </c>
      <c r="B69" s="14" t="inlineStr">
        <is>
          <t>5.1-5.20</t>
        </is>
      </c>
      <c r="C69" s="14" t="inlineStr">
        <is>
          <t>丽源名妆</t>
        </is>
      </c>
      <c r="D69" s="14" t="inlineStr">
        <is>
          <t>6970356162391</t>
        </is>
      </c>
      <c r="E69" s="14" t="inlineStr">
        <is>
          <t>参半沸石净齿牙膏140g清新苍兰</t>
        </is>
      </c>
      <c r="F69" s="15" t="n">
        <v>33</v>
      </c>
      <c r="G69" s="17" t="n">
        <v>29.9</v>
      </c>
      <c r="H69" s="14" t="n">
        <v>2</v>
      </c>
      <c r="I69" s="14" t="inlineStr">
        <is>
          <t>沸石净齿牙膏</t>
        </is>
      </c>
      <c r="J69" s="17" t="n">
        <v>3</v>
      </c>
      <c r="K69" s="18">
        <f>F69*J69</f>
        <v/>
      </c>
    </row>
    <row r="70" outlineLevel="1" ht="30" customHeight="1">
      <c r="A70" s="14" t="n">
        <v>31</v>
      </c>
      <c r="B70" s="14" t="inlineStr">
        <is>
          <t>5.1-5.20</t>
        </is>
      </c>
      <c r="C70" s="14" t="inlineStr">
        <is>
          <t>丽源名妆</t>
        </is>
      </c>
      <c r="D70" s="14" t="inlineStr">
        <is>
          <t>6970356162810</t>
        </is>
      </c>
      <c r="E70" s="14" t="inlineStr">
        <is>
          <t>参半沸石美白牙膏140g海角雏菊</t>
        </is>
      </c>
      <c r="F70" s="15" t="n">
        <v>36</v>
      </c>
      <c r="G70" s="17" t="n">
        <v>29.9</v>
      </c>
      <c r="H70" s="14" t="n">
        <v>3</v>
      </c>
      <c r="I70" s="14" t="inlineStr">
        <is>
          <t>沸石美白牙膏</t>
        </is>
      </c>
      <c r="J70" s="17" t="n">
        <v>3</v>
      </c>
      <c r="K70" s="18">
        <f>F70*J70</f>
        <v/>
      </c>
    </row>
    <row r="71" outlineLevel="1" ht="30" customHeight="1">
      <c r="A71" s="14" t="n">
        <v>32</v>
      </c>
      <c r="B71" s="14" t="inlineStr">
        <is>
          <t>5.1-5.20</t>
        </is>
      </c>
      <c r="C71" s="14" t="inlineStr">
        <is>
          <t>丽源名妆</t>
        </is>
      </c>
      <c r="D71" s="14" t="inlineStr">
        <is>
          <t>6970356164395</t>
        </is>
      </c>
      <c r="E71" s="14" t="inlineStr">
        <is>
          <t>参半极光白酵素1+1超值装牙膏(极光白160g+龙井100g)</t>
        </is>
      </c>
      <c r="F71" s="15" t="n">
        <v>46</v>
      </c>
      <c r="G71" s="17" t="n">
        <v>19.9</v>
      </c>
      <c r="H71" s="14" t="n">
        <v>5</v>
      </c>
      <c r="I71" s="14" t="inlineStr">
        <is>
          <t>光白酵素1+1超值装牙膏</t>
        </is>
      </c>
      <c r="J71" s="17" t="n">
        <v>3</v>
      </c>
      <c r="K71" s="18">
        <f>F71*J71</f>
        <v/>
      </c>
    </row>
    <row r="72" outlineLevel="1" ht="30" customHeight="1">
      <c r="A72" s="14" t="n">
        <v>33</v>
      </c>
      <c r="B72" s="14" t="inlineStr">
        <is>
          <t>5.1-5.20</t>
        </is>
      </c>
      <c r="C72" s="14" t="inlineStr">
        <is>
          <t>丽源名妆</t>
        </is>
      </c>
      <c r="D72" s="14" t="inlineStr">
        <is>
          <t>6970356162636</t>
        </is>
      </c>
      <c r="E72" s="14" t="inlineStr">
        <is>
          <t>参半专研清新美白牙膏100g</t>
        </is>
      </c>
      <c r="F72" s="15" t="n">
        <v>48</v>
      </c>
      <c r="G72" s="17" t="n">
        <v>29.9</v>
      </c>
      <c r="H72" s="14" t="n">
        <v>8</v>
      </c>
      <c r="I72" s="14" t="inlineStr">
        <is>
          <t>专研清新美白牙膏</t>
        </is>
      </c>
      <c r="J72" s="17" t="n">
        <v>3</v>
      </c>
      <c r="K72" s="18">
        <f>F72*J72</f>
        <v/>
      </c>
    </row>
    <row r="73" outlineLevel="1" ht="30" customHeight="1">
      <c r="A73" s="14" t="n">
        <v>34</v>
      </c>
      <c r="B73" s="14" t="inlineStr">
        <is>
          <t>5.1-5.20</t>
        </is>
      </c>
      <c r="C73" s="14" t="inlineStr">
        <is>
          <t>丽源名妆</t>
        </is>
      </c>
      <c r="D73" s="14" t="inlineStr">
        <is>
          <t>6970356169338</t>
        </is>
      </c>
      <c r="E73" s="14" t="inlineStr">
        <is>
          <t>参半可益白牙膏葡萄知梨120g</t>
        </is>
      </c>
      <c r="F73" s="15" t="n">
        <v>36</v>
      </c>
      <c r="G73" s="17" t="n">
        <v>29.9</v>
      </c>
      <c r="H73" s="14" t="n">
        <v>6</v>
      </c>
      <c r="I73" s="14" t="inlineStr">
        <is>
          <t>可益白牙膏葡萄知梨牙膏</t>
        </is>
      </c>
      <c r="J73" s="17" t="n">
        <v>3</v>
      </c>
      <c r="K73" s="18">
        <f>F73*J73</f>
        <v/>
      </c>
    </row>
    <row r="74" outlineLevel="1" ht="30" customHeight="1">
      <c r="A74" s="14" t="n">
        <v>35</v>
      </c>
      <c r="B74" s="14" t="inlineStr">
        <is>
          <t>5.1-5.20</t>
        </is>
      </c>
      <c r="C74" s="14" t="inlineStr">
        <is>
          <t>丽源名妆</t>
        </is>
      </c>
      <c r="D74" s="14" t="inlineStr">
        <is>
          <t>6970356169321</t>
        </is>
      </c>
      <c r="E74" s="14" t="inlineStr">
        <is>
          <t>参半可益清牙膏葡见茶爽120g</t>
        </is>
      </c>
      <c r="F74" s="15" t="n">
        <v>28</v>
      </c>
      <c r="G74" s="17" t="n">
        <v>29.9</v>
      </c>
      <c r="H74" s="14" t="n">
        <v>7</v>
      </c>
      <c r="I74" s="14" t="inlineStr">
        <is>
          <t>可益清牙膏葡见茶爽牙膏</t>
        </is>
      </c>
      <c r="J74" s="17" t="n">
        <v>3</v>
      </c>
      <c r="K74" s="18">
        <f>F74*J74</f>
        <v/>
      </c>
    </row>
    <row r="75" outlineLevel="1" ht="30" customHeight="1">
      <c r="A75" s="14" t="n">
        <v>38</v>
      </c>
      <c r="B75" s="14" t="inlineStr">
        <is>
          <t>5.1-5.20</t>
        </is>
      </c>
      <c r="C75" s="14" t="inlineStr">
        <is>
          <t>米菲精品</t>
        </is>
      </c>
      <c r="D75" s="14" t="inlineStr">
        <is>
          <t>6970356164388</t>
        </is>
      </c>
      <c r="E75" s="14" t="inlineStr">
        <is>
          <t>参半臻白牙膏1+2特享装</t>
        </is>
      </c>
      <c r="F75" s="15" t="n">
        <v>44</v>
      </c>
      <c r="G75" s="17" t="n">
        <v>29.9</v>
      </c>
      <c r="H75" s="14" t="n">
        <v>4</v>
      </c>
      <c r="I75" s="14" t="inlineStr">
        <is>
          <t>1+2臻白套盒</t>
        </is>
      </c>
      <c r="J75" s="17" t="n">
        <v>3</v>
      </c>
      <c r="K75" s="18">
        <f>F75*J75</f>
        <v/>
      </c>
    </row>
    <row r="76" outlineLevel="1" ht="30" customHeight="1">
      <c r="A76" s="14" t="n">
        <v>39</v>
      </c>
      <c r="B76" s="14" t="inlineStr">
        <is>
          <t>5.1-5.20</t>
        </is>
      </c>
      <c r="C76" s="14" t="inlineStr">
        <is>
          <t>米菲精品</t>
        </is>
      </c>
      <c r="D76" s="14" t="inlineStr">
        <is>
          <t>6970356164296</t>
        </is>
      </c>
      <c r="E76" s="14" t="inlineStr">
        <is>
          <t>参半清新牙膏120g动感薄荷</t>
        </is>
      </c>
      <c r="F76" s="15" t="n">
        <v>36</v>
      </c>
      <c r="G76" s="17" t="n">
        <v>29.9</v>
      </c>
      <c r="H76" s="14" t="n">
        <v>10</v>
      </c>
      <c r="I76" s="14" t="inlineStr">
        <is>
          <t>SP-4 清新牙膏</t>
        </is>
      </c>
      <c r="J76" s="17" t="n">
        <v>3</v>
      </c>
      <c r="K76" s="18">
        <f>F76*J76</f>
        <v/>
      </c>
    </row>
    <row r="77" outlineLevel="1" ht="30" customHeight="1">
      <c r="A77" s="14" t="n">
        <v>40</v>
      </c>
      <c r="B77" s="14" t="inlineStr">
        <is>
          <t>5.1-5.20</t>
        </is>
      </c>
      <c r="C77" s="14" t="inlineStr">
        <is>
          <t>米菲精品</t>
        </is>
      </c>
      <c r="D77" s="14" t="inlineStr">
        <is>
          <t>6970356164289</t>
        </is>
      </c>
      <c r="E77" s="14" t="inlineStr">
        <is>
          <t>参半美白牙膏120g香域茉莉味</t>
        </is>
      </c>
      <c r="F77" s="15" t="n">
        <v>24</v>
      </c>
      <c r="G77" s="17" t="n">
        <v>29.9</v>
      </c>
      <c r="H77" s="14" t="n">
        <v>9</v>
      </c>
      <c r="I77" s="14" t="inlineStr">
        <is>
          <t>SP-4 美白牙膏</t>
        </is>
      </c>
      <c r="J77" s="17" t="n">
        <v>3</v>
      </c>
      <c r="K77" s="18">
        <f>F77*J77</f>
        <v/>
      </c>
    </row>
    <row r="78" outlineLevel="1" ht="30" customHeight="1">
      <c r="A78" s="14" t="n">
        <v>41</v>
      </c>
      <c r="B78" s="14" t="inlineStr">
        <is>
          <t>5.1-5.20</t>
        </is>
      </c>
      <c r="C78" s="14" t="inlineStr">
        <is>
          <t>米菲精品</t>
        </is>
      </c>
      <c r="D78" s="14" t="inlineStr">
        <is>
          <t>6970356166832</t>
        </is>
      </c>
      <c r="E78" s="14" t="inlineStr">
        <is>
          <t>参半羟基磷灰石牙膏100g满陇桂雨味</t>
        </is>
      </c>
      <c r="F78" s="15" t="n">
        <v>28</v>
      </c>
      <c r="G78" s="17" t="n">
        <v>24.9</v>
      </c>
      <c r="H78" s="14" t="n">
        <v>1</v>
      </c>
      <c r="I78" s="14" t="inlineStr">
        <is>
          <t>羟基磷灰石修复牙膏</t>
        </is>
      </c>
      <c r="J78" s="17" t="n">
        <v>3</v>
      </c>
      <c r="K78" s="18">
        <f>F78*J78</f>
        <v/>
      </c>
    </row>
    <row r="79" outlineLevel="1" ht="30" customHeight="1">
      <c r="A79" s="14" t="n">
        <v>42</v>
      </c>
      <c r="B79" s="14" t="inlineStr">
        <is>
          <t>5.1-5.20</t>
        </is>
      </c>
      <c r="C79" s="14" t="inlineStr">
        <is>
          <t>米菲精品</t>
        </is>
      </c>
      <c r="D79" s="14" t="inlineStr">
        <is>
          <t>6970356162391</t>
        </is>
      </c>
      <c r="E79" s="14" t="inlineStr">
        <is>
          <t>参半沸石净齿牙膏140g清新苍兰</t>
        </is>
      </c>
      <c r="F79" s="15" t="n">
        <v>32</v>
      </c>
      <c r="G79" s="17" t="n">
        <v>29.9</v>
      </c>
      <c r="H79" s="14" t="n">
        <v>2</v>
      </c>
      <c r="I79" s="14" t="inlineStr">
        <is>
          <t>沸石净齿牙膏</t>
        </is>
      </c>
      <c r="J79" s="17" t="n">
        <v>3</v>
      </c>
      <c r="K79" s="18">
        <f>F79*J79</f>
        <v/>
      </c>
    </row>
    <row r="80" outlineLevel="1" ht="30" customHeight="1">
      <c r="A80" s="14" t="n">
        <v>43</v>
      </c>
      <c r="B80" s="14" t="inlineStr">
        <is>
          <t>5.1-5.20</t>
        </is>
      </c>
      <c r="C80" s="14" t="inlineStr">
        <is>
          <t>米菲精品</t>
        </is>
      </c>
      <c r="D80" s="14" t="inlineStr">
        <is>
          <t>6970356162810</t>
        </is>
      </c>
      <c r="E80" s="14" t="inlineStr">
        <is>
          <t>参半沸石美白牙膏140g海角雏菊</t>
        </is>
      </c>
      <c r="F80" s="15" t="n">
        <v>28</v>
      </c>
      <c r="G80" s="17" t="n">
        <v>29.9</v>
      </c>
      <c r="H80" s="14" t="n">
        <v>3</v>
      </c>
      <c r="I80" s="14" t="inlineStr">
        <is>
          <t>沸石美白牙膏</t>
        </is>
      </c>
      <c r="J80" s="17" t="n">
        <v>3</v>
      </c>
      <c r="K80" s="18">
        <f>F80*J80</f>
        <v/>
      </c>
    </row>
    <row r="81" outlineLevel="1" ht="30" customHeight="1">
      <c r="A81" s="14" t="n">
        <v>44</v>
      </c>
      <c r="B81" s="14" t="inlineStr">
        <is>
          <t>5.1-5.20</t>
        </is>
      </c>
      <c r="C81" s="14" t="inlineStr">
        <is>
          <t>米菲精品</t>
        </is>
      </c>
      <c r="D81" s="14" t="inlineStr">
        <is>
          <t>6970356164395</t>
        </is>
      </c>
      <c r="E81" s="14" t="inlineStr">
        <is>
          <t>参半极光白酵素1+1超值装牙膏(极光白160g+龙井100g)</t>
        </is>
      </c>
      <c r="F81" s="15" t="n">
        <v>24</v>
      </c>
      <c r="G81" s="17" t="n">
        <v>19.9</v>
      </c>
      <c r="H81" s="14" t="n">
        <v>5</v>
      </c>
      <c r="I81" s="14" t="inlineStr">
        <is>
          <t>光白酵素1+1超值装牙膏</t>
        </is>
      </c>
      <c r="J81" s="17" t="n">
        <v>3</v>
      </c>
      <c r="K81" s="18">
        <f>F81*J81</f>
        <v/>
      </c>
    </row>
    <row r="82" outlineLevel="1" ht="30" customHeight="1">
      <c r="A82" s="14" t="n">
        <v>45</v>
      </c>
      <c r="B82" s="14" t="inlineStr">
        <is>
          <t>5.1-5.20</t>
        </is>
      </c>
      <c r="C82" s="14" t="inlineStr">
        <is>
          <t>米菲精品</t>
        </is>
      </c>
      <c r="D82" s="14" t="inlineStr">
        <is>
          <t>6970356162636</t>
        </is>
      </c>
      <c r="E82" s="14" t="inlineStr">
        <is>
          <t>参半专研清新美白牙膏100g</t>
        </is>
      </c>
      <c r="F82" s="15" t="n">
        <v>26</v>
      </c>
      <c r="G82" s="17" t="n">
        <v>29.9</v>
      </c>
      <c r="H82" s="14" t="n">
        <v>8</v>
      </c>
      <c r="I82" s="14" t="inlineStr">
        <is>
          <t>专研清新美白牙膏</t>
        </is>
      </c>
      <c r="J82" s="17" t="n">
        <v>3</v>
      </c>
      <c r="K82" s="18">
        <f>F82*J82</f>
        <v/>
      </c>
    </row>
    <row r="83" outlineLevel="1" ht="30" customHeight="1">
      <c r="A83" s="14" t="n">
        <v>46</v>
      </c>
      <c r="B83" s="14" t="inlineStr">
        <is>
          <t>5.1-5.20</t>
        </is>
      </c>
      <c r="C83" s="14" t="inlineStr">
        <is>
          <t>米菲精品</t>
        </is>
      </c>
      <c r="D83" s="14" t="inlineStr">
        <is>
          <t>6970356169338</t>
        </is>
      </c>
      <c r="E83" s="14" t="inlineStr">
        <is>
          <t>参半可益白牙膏葡萄知梨120g</t>
        </is>
      </c>
      <c r="F83" s="15" t="n">
        <v>48</v>
      </c>
      <c r="G83" s="17" t="n">
        <v>29.9</v>
      </c>
      <c r="H83" s="14" t="n">
        <v>6</v>
      </c>
      <c r="I83" s="14" t="inlineStr">
        <is>
          <t>可益白牙膏葡萄知梨牙膏</t>
        </is>
      </c>
      <c r="J83" s="17" t="n">
        <v>3</v>
      </c>
      <c r="K83" s="18">
        <f>F83*J83</f>
        <v/>
      </c>
    </row>
    <row r="84" outlineLevel="1" ht="30" customHeight="1">
      <c r="A84" s="14" t="n">
        <v>47</v>
      </c>
      <c r="B84" s="14" t="inlineStr">
        <is>
          <t>5.1-5.20</t>
        </is>
      </c>
      <c r="C84" s="14" t="inlineStr">
        <is>
          <t>米菲精品</t>
        </is>
      </c>
      <c r="D84" s="14" t="inlineStr">
        <is>
          <t>6970356169321</t>
        </is>
      </c>
      <c r="E84" s="14" t="inlineStr">
        <is>
          <t>参半可益清牙膏葡见茶爽120g</t>
        </is>
      </c>
      <c r="F84" s="15" t="n">
        <v>48</v>
      </c>
      <c r="G84" s="17" t="n">
        <v>29.9</v>
      </c>
      <c r="H84" s="14" t="n">
        <v>7</v>
      </c>
      <c r="I84" s="14" t="inlineStr">
        <is>
          <t>可益清牙膏葡见茶爽牙膏</t>
        </is>
      </c>
      <c r="J84" s="17" t="n">
        <v>3</v>
      </c>
      <c r="K84" s="18">
        <f>F84*J84</f>
        <v/>
      </c>
    </row>
    <row r="85" outlineLevel="1" ht="30" customHeight="1">
      <c r="A85" s="14" t="n">
        <v>50</v>
      </c>
      <c r="B85" s="14" t="inlineStr">
        <is>
          <t>5.1-5.20</t>
        </is>
      </c>
      <c r="C85" s="14" t="inlineStr">
        <is>
          <t>桐贝美妆</t>
        </is>
      </c>
      <c r="D85" s="14" t="inlineStr">
        <is>
          <t>6970356164388</t>
        </is>
      </c>
      <c r="E85" s="14" t="inlineStr">
        <is>
          <t>参半臻白牙膏1+2特享装</t>
        </is>
      </c>
      <c r="F85" s="15" t="n">
        <v>36</v>
      </c>
      <c r="G85" s="17" t="n">
        <v>29.9</v>
      </c>
      <c r="H85" s="14" t="n">
        <v>4</v>
      </c>
      <c r="I85" s="14" t="inlineStr">
        <is>
          <t>1+2臻白套盒</t>
        </is>
      </c>
      <c r="J85" s="17" t="n">
        <v>3</v>
      </c>
      <c r="K85" s="18">
        <f>F85*J85</f>
        <v/>
      </c>
    </row>
    <row r="86" outlineLevel="1" ht="30" customHeight="1">
      <c r="A86" s="14" t="n">
        <v>51</v>
      </c>
      <c r="B86" s="14" t="inlineStr">
        <is>
          <t>5.1-5.20</t>
        </is>
      </c>
      <c r="C86" s="14" t="inlineStr">
        <is>
          <t>桐贝美妆</t>
        </is>
      </c>
      <c r="D86" s="14" t="inlineStr">
        <is>
          <t>6970356164296</t>
        </is>
      </c>
      <c r="E86" s="14" t="inlineStr">
        <is>
          <t>参半清新牙膏120g动感薄荷</t>
        </is>
      </c>
      <c r="F86" s="15" t="n">
        <v>18</v>
      </c>
      <c r="G86" s="17" t="n">
        <v>29.9</v>
      </c>
      <c r="H86" s="14" t="n">
        <v>10</v>
      </c>
      <c r="I86" s="14" t="inlineStr">
        <is>
          <t>SP-4 清新牙膏</t>
        </is>
      </c>
      <c r="J86" s="17" t="n">
        <v>3</v>
      </c>
      <c r="K86" s="18">
        <f>F86*J86</f>
        <v/>
      </c>
    </row>
    <row r="87" outlineLevel="1" ht="30" customHeight="1">
      <c r="A87" s="14" t="n">
        <v>52</v>
      </c>
      <c r="B87" s="14" t="inlineStr">
        <is>
          <t>5.1-5.20</t>
        </is>
      </c>
      <c r="C87" s="14" t="inlineStr">
        <is>
          <t>桐贝美妆</t>
        </is>
      </c>
      <c r="D87" s="14" t="inlineStr">
        <is>
          <t>6970356164289</t>
        </is>
      </c>
      <c r="E87" s="14" t="inlineStr">
        <is>
          <t>参半美白牙膏120g香域茉莉味</t>
        </is>
      </c>
      <c r="F87" s="15" t="n">
        <v>18</v>
      </c>
      <c r="G87" s="17" t="n">
        <v>29.9</v>
      </c>
      <c r="H87" s="14" t="n">
        <v>9</v>
      </c>
      <c r="I87" s="14" t="inlineStr">
        <is>
          <t>SP-4 美白牙膏</t>
        </is>
      </c>
      <c r="J87" s="17" t="n">
        <v>3</v>
      </c>
      <c r="K87" s="18">
        <f>F87*J87</f>
        <v/>
      </c>
    </row>
    <row r="88" outlineLevel="1" ht="30" customHeight="1">
      <c r="A88" s="14" t="n">
        <v>53</v>
      </c>
      <c r="B88" s="14" t="inlineStr">
        <is>
          <t>5.1-5.20</t>
        </is>
      </c>
      <c r="C88" s="14" t="inlineStr">
        <is>
          <t>桐贝美妆</t>
        </is>
      </c>
      <c r="D88" s="14" t="inlineStr">
        <is>
          <t>6970356166832</t>
        </is>
      </c>
      <c r="E88" s="14" t="inlineStr">
        <is>
          <t>参半羟基磷灰石牙膏100g满陇桂雨味</t>
        </is>
      </c>
      <c r="F88" s="15" t="n">
        <v>48</v>
      </c>
      <c r="G88" s="17" t="n">
        <v>24.9</v>
      </c>
      <c r="H88" s="14" t="n">
        <v>1</v>
      </c>
      <c r="I88" s="14" t="inlineStr">
        <is>
          <t>羟基磷灰石修复牙膏</t>
        </is>
      </c>
      <c r="J88" s="17" t="n">
        <v>3</v>
      </c>
      <c r="K88" s="18">
        <f>F88*J88</f>
        <v/>
      </c>
    </row>
    <row r="89" outlineLevel="1" ht="30" customHeight="1">
      <c r="A89" s="14" t="n">
        <v>54</v>
      </c>
      <c r="B89" s="14" t="inlineStr">
        <is>
          <t>5.1-5.20</t>
        </is>
      </c>
      <c r="C89" s="14" t="inlineStr">
        <is>
          <t>桐贝美妆</t>
        </is>
      </c>
      <c r="D89" s="14" t="inlineStr">
        <is>
          <t>6970356162391</t>
        </is>
      </c>
      <c r="E89" s="14" t="inlineStr">
        <is>
          <t>参半沸石净齿牙膏140g清新苍兰</t>
        </is>
      </c>
      <c r="F89" s="15" t="n">
        <v>48</v>
      </c>
      <c r="G89" s="17" t="n">
        <v>29.9</v>
      </c>
      <c r="H89" s="14" t="n">
        <v>2</v>
      </c>
      <c r="I89" s="14" t="inlineStr">
        <is>
          <t>沸石净齿牙膏</t>
        </is>
      </c>
      <c r="J89" s="17" t="n">
        <v>3</v>
      </c>
      <c r="K89" s="18">
        <f>F89*J89</f>
        <v/>
      </c>
    </row>
    <row r="90" outlineLevel="1" ht="30" customHeight="1">
      <c r="A90" s="14" t="n">
        <v>55</v>
      </c>
      <c r="B90" s="14" t="inlineStr">
        <is>
          <t>5.1-5.20</t>
        </is>
      </c>
      <c r="C90" s="14" t="inlineStr">
        <is>
          <t>桐贝美妆</t>
        </is>
      </c>
      <c r="D90" s="14" t="inlineStr">
        <is>
          <t>6970356162810</t>
        </is>
      </c>
      <c r="E90" s="14" t="inlineStr">
        <is>
          <t>参半沸石美白牙膏140g海角雏菊</t>
        </is>
      </c>
      <c r="F90" s="15" t="n">
        <v>47</v>
      </c>
      <c r="G90" s="17" t="n">
        <v>29.9</v>
      </c>
      <c r="H90" s="14" t="n">
        <v>3</v>
      </c>
      <c r="I90" s="14" t="inlineStr">
        <is>
          <t>沸石美白牙膏</t>
        </is>
      </c>
      <c r="J90" s="17" t="n">
        <v>3</v>
      </c>
      <c r="K90" s="18">
        <f>F90*J90</f>
        <v/>
      </c>
    </row>
    <row r="91" outlineLevel="1" ht="30" customHeight="1">
      <c r="A91" s="14" t="n">
        <v>56</v>
      </c>
      <c r="B91" s="14" t="inlineStr">
        <is>
          <t>5.1-5.20</t>
        </is>
      </c>
      <c r="C91" s="14" t="inlineStr">
        <is>
          <t>桐贝美妆</t>
        </is>
      </c>
      <c r="D91" s="14" t="inlineStr">
        <is>
          <t>6970356164395</t>
        </is>
      </c>
      <c r="E91" s="14" t="inlineStr">
        <is>
          <t>参半极光白酵素1+1超值装牙膏(极光白160g+龙井100g)</t>
        </is>
      </c>
      <c r="F91" s="15" t="n">
        <v>25</v>
      </c>
      <c r="G91" s="17" t="n">
        <v>19.9</v>
      </c>
      <c r="H91" s="14" t="n">
        <v>5</v>
      </c>
      <c r="I91" s="14" t="inlineStr">
        <is>
          <t>光白酵素1+1超值装牙膏</t>
        </is>
      </c>
      <c r="J91" s="17" t="n">
        <v>3</v>
      </c>
      <c r="K91" s="18">
        <f>F91*J91</f>
        <v/>
      </c>
    </row>
    <row r="92" outlineLevel="1" ht="30" customHeight="1">
      <c r="A92" s="14" t="n">
        <v>57</v>
      </c>
      <c r="B92" s="14" t="inlineStr">
        <is>
          <t>5.1-5.20</t>
        </is>
      </c>
      <c r="C92" s="14" t="inlineStr">
        <is>
          <t>桐贝美妆</t>
        </is>
      </c>
      <c r="D92" s="14" t="inlineStr">
        <is>
          <t>6970356162636</t>
        </is>
      </c>
      <c r="E92" s="14" t="inlineStr">
        <is>
          <t>参半专研清新美白牙膏100g</t>
        </is>
      </c>
      <c r="F92" s="15" t="n">
        <v>60</v>
      </c>
      <c r="G92" s="17" t="n">
        <v>29.9</v>
      </c>
      <c r="H92" s="14" t="n">
        <v>8</v>
      </c>
      <c r="I92" s="14" t="inlineStr">
        <is>
          <t>专研清新美白牙膏</t>
        </is>
      </c>
      <c r="J92" s="17" t="n">
        <v>3</v>
      </c>
      <c r="K92" s="18">
        <f>F92*J92</f>
        <v/>
      </c>
    </row>
    <row r="93" outlineLevel="1" ht="30" customHeight="1">
      <c r="A93" s="14" t="n">
        <v>58</v>
      </c>
      <c r="B93" s="14" t="inlineStr">
        <is>
          <t>5.1-5.20</t>
        </is>
      </c>
      <c r="C93" s="14" t="inlineStr">
        <is>
          <t>桐贝美妆</t>
        </is>
      </c>
      <c r="D93" s="14" t="inlineStr">
        <is>
          <t>6970356169338</t>
        </is>
      </c>
      <c r="E93" s="14" t="inlineStr">
        <is>
          <t>参半可益白牙膏葡萄知梨120g</t>
        </is>
      </c>
      <c r="F93" s="15" t="n">
        <v>36</v>
      </c>
      <c r="G93" s="17" t="n">
        <v>29.9</v>
      </c>
      <c r="H93" s="14" t="n">
        <v>6</v>
      </c>
      <c r="I93" s="14" t="inlineStr">
        <is>
          <t>可益白牙膏葡萄知梨牙膏</t>
        </is>
      </c>
      <c r="J93" s="17" t="n">
        <v>3</v>
      </c>
      <c r="K93" s="18">
        <f>F93*J93</f>
        <v/>
      </c>
    </row>
    <row r="94" outlineLevel="1" ht="30" customHeight="1">
      <c r="A94" s="14" t="n">
        <v>59</v>
      </c>
      <c r="B94" s="14" t="inlineStr">
        <is>
          <t>5.1-5.20</t>
        </is>
      </c>
      <c r="C94" s="14" t="inlineStr">
        <is>
          <t>桐贝美妆</t>
        </is>
      </c>
      <c r="D94" s="14" t="inlineStr">
        <is>
          <t>6970356169321</t>
        </is>
      </c>
      <c r="E94" s="14" t="inlineStr">
        <is>
          <t>参半可益清牙膏葡见茶爽120g</t>
        </is>
      </c>
      <c r="F94" s="15" t="n">
        <v>29</v>
      </c>
      <c r="G94" s="17" t="n">
        <v>29.9</v>
      </c>
      <c r="H94" s="14" t="n">
        <v>7</v>
      </c>
      <c r="I94" s="14" t="inlineStr">
        <is>
          <t>可益清牙膏葡见茶爽牙膏</t>
        </is>
      </c>
      <c r="J94" s="17" t="n">
        <v>3</v>
      </c>
      <c r="K94" s="18">
        <f>F94*J94</f>
        <v/>
      </c>
    </row>
    <row r="95" outlineLevel="1" ht="30" customHeight="1">
      <c r="A95" s="14" t="n">
        <v>62</v>
      </c>
      <c r="B95" s="14" t="inlineStr">
        <is>
          <t>5.1-5.20</t>
        </is>
      </c>
      <c r="C95" s="14" t="inlineStr">
        <is>
          <t>时尚密码</t>
        </is>
      </c>
      <c r="D95" s="14" t="inlineStr">
        <is>
          <t>6970356164388</t>
        </is>
      </c>
      <c r="E95" s="14" t="inlineStr">
        <is>
          <t>参半臻白牙膏1+2特享装</t>
        </is>
      </c>
      <c r="F95" s="15" t="n">
        <v>24</v>
      </c>
      <c r="G95" s="17" t="n">
        <v>29.9</v>
      </c>
      <c r="H95" s="14" t="n">
        <v>4</v>
      </c>
      <c r="I95" s="14" t="inlineStr">
        <is>
          <t>1+2臻白套盒</t>
        </is>
      </c>
      <c r="J95" s="17" t="n">
        <v>3</v>
      </c>
      <c r="K95" s="18">
        <f>F95*J95</f>
        <v/>
      </c>
    </row>
    <row r="96" outlineLevel="1" ht="30" customHeight="1">
      <c r="A96" s="14" t="n">
        <v>63</v>
      </c>
      <c r="B96" s="14" t="inlineStr">
        <is>
          <t>5.1-5.20</t>
        </is>
      </c>
      <c r="C96" s="14" t="inlineStr">
        <is>
          <t>时尚密码</t>
        </is>
      </c>
      <c r="D96" s="14" t="inlineStr">
        <is>
          <t>6970356164296</t>
        </is>
      </c>
      <c r="E96" s="14" t="inlineStr">
        <is>
          <t>参半清新牙膏120g动感薄荷</t>
        </is>
      </c>
      <c r="F96" s="15" t="n">
        <v>24</v>
      </c>
      <c r="G96" s="17" t="n">
        <v>29.9</v>
      </c>
      <c r="H96" s="14" t="n">
        <v>10</v>
      </c>
      <c r="I96" s="14" t="inlineStr">
        <is>
          <t>SP-4 清新牙膏</t>
        </is>
      </c>
      <c r="J96" s="17" t="n">
        <v>3</v>
      </c>
      <c r="K96" s="18">
        <f>F96*J96</f>
        <v/>
      </c>
    </row>
    <row r="97" outlineLevel="1" ht="30" customHeight="1">
      <c r="A97" s="14" t="n">
        <v>64</v>
      </c>
      <c r="B97" s="14" t="inlineStr">
        <is>
          <t>5.1-5.20</t>
        </is>
      </c>
      <c r="C97" s="14" t="inlineStr">
        <is>
          <t>时尚密码</t>
        </is>
      </c>
      <c r="D97" s="14" t="inlineStr">
        <is>
          <t>6970356164289</t>
        </is>
      </c>
      <c r="E97" s="14" t="inlineStr">
        <is>
          <t>参半美白牙膏120g香域茉莉味</t>
        </is>
      </c>
      <c r="F97" s="15" t="n">
        <v>28</v>
      </c>
      <c r="G97" s="17" t="n">
        <v>29.9</v>
      </c>
      <c r="H97" s="14" t="n">
        <v>9</v>
      </c>
      <c r="I97" s="14" t="inlineStr">
        <is>
          <t>SP-4 美白牙膏</t>
        </is>
      </c>
      <c r="J97" s="17" t="n">
        <v>3</v>
      </c>
      <c r="K97" s="18">
        <f>F97*J97</f>
        <v/>
      </c>
    </row>
    <row r="98" outlineLevel="1" ht="30" customHeight="1">
      <c r="A98" s="14" t="n">
        <v>65</v>
      </c>
      <c r="B98" s="14" t="inlineStr">
        <is>
          <t>5.1-5.20</t>
        </is>
      </c>
      <c r="C98" s="14" t="inlineStr">
        <is>
          <t>时尚密码</t>
        </is>
      </c>
      <c r="D98" s="14" t="inlineStr">
        <is>
          <t>6970356166832</t>
        </is>
      </c>
      <c r="E98" s="14" t="inlineStr">
        <is>
          <t>参半羟基磷灰石牙膏100g满陇桂雨味</t>
        </is>
      </c>
      <c r="F98" s="15" t="n">
        <v>37</v>
      </c>
      <c r="G98" s="17" t="n">
        <v>24.9</v>
      </c>
      <c r="H98" s="14" t="n">
        <v>1</v>
      </c>
      <c r="I98" s="14" t="inlineStr">
        <is>
          <t>羟基磷灰石修复牙膏</t>
        </is>
      </c>
      <c r="J98" s="17" t="n">
        <v>3</v>
      </c>
      <c r="K98" s="18">
        <f>F98*J98</f>
        <v/>
      </c>
    </row>
    <row r="99" outlineLevel="1" ht="30" customHeight="1">
      <c r="A99" s="14" t="n">
        <v>66</v>
      </c>
      <c r="B99" s="14" t="inlineStr">
        <is>
          <t>5.1-5.20</t>
        </is>
      </c>
      <c r="C99" s="14" t="inlineStr">
        <is>
          <t>时尚密码</t>
        </is>
      </c>
      <c r="D99" s="14" t="inlineStr">
        <is>
          <t>6970356162391</t>
        </is>
      </c>
      <c r="E99" s="14" t="inlineStr">
        <is>
          <t>参半沸石净齿牙膏140g清新苍兰</t>
        </is>
      </c>
      <c r="F99" s="15" t="n">
        <v>49</v>
      </c>
      <c r="G99" s="17" t="n">
        <v>29.9</v>
      </c>
      <c r="H99" s="14" t="n">
        <v>2</v>
      </c>
      <c r="I99" s="14" t="inlineStr">
        <is>
          <t>沸石净齿牙膏</t>
        </is>
      </c>
      <c r="J99" s="17" t="n">
        <v>3</v>
      </c>
      <c r="K99" s="18">
        <f>F99*J99</f>
        <v/>
      </c>
    </row>
    <row r="100" outlineLevel="1" ht="30" customHeight="1">
      <c r="A100" s="14" t="n">
        <v>67</v>
      </c>
      <c r="B100" s="14" t="inlineStr">
        <is>
          <t>5.1-5.20</t>
        </is>
      </c>
      <c r="C100" s="14" t="inlineStr">
        <is>
          <t>时尚密码</t>
        </is>
      </c>
      <c r="D100" s="14" t="inlineStr">
        <is>
          <t>6970356162810</t>
        </is>
      </c>
      <c r="E100" s="14" t="inlineStr">
        <is>
          <t>参半沸石美白牙膏140g海角雏菊</t>
        </is>
      </c>
      <c r="F100" s="15" t="n">
        <v>33</v>
      </c>
      <c r="G100" s="17" t="n">
        <v>29.9</v>
      </c>
      <c r="H100" s="14" t="n">
        <v>3</v>
      </c>
      <c r="I100" s="14" t="inlineStr">
        <is>
          <t>沸石美白牙膏</t>
        </is>
      </c>
      <c r="J100" s="17" t="n">
        <v>3</v>
      </c>
      <c r="K100" s="18">
        <f>F100*J100</f>
        <v/>
      </c>
    </row>
    <row r="101" outlineLevel="1" ht="30" customHeight="1">
      <c r="A101" s="14" t="n">
        <v>68</v>
      </c>
      <c r="B101" s="14" t="inlineStr">
        <is>
          <t>5.1-5.20</t>
        </is>
      </c>
      <c r="C101" s="14" t="inlineStr">
        <is>
          <t>时尚密码</t>
        </is>
      </c>
      <c r="D101" s="14" t="inlineStr">
        <is>
          <t>6970356164395</t>
        </is>
      </c>
      <c r="E101" s="14" t="inlineStr">
        <is>
          <t>参半极光白酵素1+1超值装牙膏(极光白160g+龙井100g)</t>
        </is>
      </c>
      <c r="F101" s="15" t="n">
        <v>36</v>
      </c>
      <c r="G101" s="17" t="n">
        <v>19.9</v>
      </c>
      <c r="H101" s="14" t="n">
        <v>5</v>
      </c>
      <c r="I101" s="14" t="inlineStr">
        <is>
          <t>光白酵素1+1超值装牙膏</t>
        </is>
      </c>
      <c r="J101" s="17" t="n">
        <v>3</v>
      </c>
      <c r="K101" s="18">
        <f>F101*J101</f>
        <v/>
      </c>
    </row>
    <row r="102" outlineLevel="1" ht="30" customHeight="1">
      <c r="A102" s="14" t="n">
        <v>69</v>
      </c>
      <c r="B102" s="14" t="inlineStr">
        <is>
          <t>5.1-5.20</t>
        </is>
      </c>
      <c r="C102" s="14" t="inlineStr">
        <is>
          <t>时尚密码</t>
        </is>
      </c>
      <c r="D102" s="14" t="inlineStr">
        <is>
          <t>6970356162636</t>
        </is>
      </c>
      <c r="E102" s="14" t="inlineStr">
        <is>
          <t>参半专研清新美白牙膏100g</t>
        </is>
      </c>
      <c r="F102" s="15" t="n">
        <v>54</v>
      </c>
      <c r="G102" s="17" t="n">
        <v>29.9</v>
      </c>
      <c r="H102" s="14" t="n">
        <v>8</v>
      </c>
      <c r="I102" s="14" t="inlineStr">
        <is>
          <t>专研清新美白牙膏</t>
        </is>
      </c>
      <c r="J102" s="17" t="n">
        <v>3</v>
      </c>
      <c r="K102" s="18">
        <f>F102*J102</f>
        <v/>
      </c>
    </row>
    <row r="103" outlineLevel="1" ht="30" customHeight="1">
      <c r="A103" s="14" t="n">
        <v>70</v>
      </c>
      <c r="B103" s="14" t="inlineStr">
        <is>
          <t>5.1-5.20</t>
        </is>
      </c>
      <c r="C103" s="14" t="inlineStr">
        <is>
          <t>时尚密码</t>
        </is>
      </c>
      <c r="D103" s="14" t="inlineStr">
        <is>
          <t>6970356169338</t>
        </is>
      </c>
      <c r="E103" s="14" t="inlineStr">
        <is>
          <t>参半可益白牙膏葡萄知梨120g</t>
        </is>
      </c>
      <c r="F103" s="15" t="n">
        <v>36</v>
      </c>
      <c r="G103" s="17" t="n">
        <v>29.9</v>
      </c>
      <c r="H103" s="14" t="n">
        <v>6</v>
      </c>
      <c r="I103" s="14" t="inlineStr">
        <is>
          <t>可益白牙膏葡萄知梨牙膏</t>
        </is>
      </c>
      <c r="J103" s="17" t="n">
        <v>3</v>
      </c>
      <c r="K103" s="18">
        <f>F103*J103</f>
        <v/>
      </c>
    </row>
    <row r="104" outlineLevel="1" ht="30" customHeight="1">
      <c r="A104" s="14" t="n">
        <v>71</v>
      </c>
      <c r="B104" s="14" t="inlineStr">
        <is>
          <t>5.1-5.20</t>
        </is>
      </c>
      <c r="C104" s="14" t="inlineStr">
        <is>
          <t>时尚密码</t>
        </is>
      </c>
      <c r="D104" s="14" t="inlineStr">
        <is>
          <t>6970356169321</t>
        </is>
      </c>
      <c r="E104" s="14" t="inlineStr">
        <is>
          <t>参半可益清牙膏葡见茶爽120g</t>
        </is>
      </c>
      <c r="F104" s="15" t="n">
        <v>44</v>
      </c>
      <c r="G104" s="17" t="n">
        <v>29.9</v>
      </c>
      <c r="H104" s="14" t="n">
        <v>7</v>
      </c>
      <c r="I104" s="14" t="inlineStr">
        <is>
          <t>可益清牙膏葡见茶爽牙膏</t>
        </is>
      </c>
      <c r="J104" s="17" t="n">
        <v>3</v>
      </c>
      <c r="K104" s="18">
        <f>F104*J104</f>
        <v/>
      </c>
    </row>
    <row r="105" outlineLevel="1" ht="30" customHeight="1">
      <c r="A105" s="14" t="n">
        <v>74</v>
      </c>
      <c r="B105" s="14" t="inlineStr">
        <is>
          <t>5.1-5.20</t>
        </is>
      </c>
      <c r="C105" s="14" t="inlineStr">
        <is>
          <t>大物集美</t>
        </is>
      </c>
      <c r="D105" s="14" t="inlineStr">
        <is>
          <t>6970356164388</t>
        </is>
      </c>
      <c r="E105" s="14" t="inlineStr">
        <is>
          <t>参半臻白牙膏1+2特享装</t>
        </is>
      </c>
      <c r="F105" s="15" t="n">
        <v>18</v>
      </c>
      <c r="G105" s="17" t="n">
        <v>29.9</v>
      </c>
      <c r="H105" s="14" t="n">
        <v>4</v>
      </c>
      <c r="I105" s="14" t="inlineStr">
        <is>
          <t>1+2臻白套盒</t>
        </is>
      </c>
      <c r="J105" s="17" t="n">
        <v>3</v>
      </c>
      <c r="K105" s="18">
        <f>F105*J105</f>
        <v/>
      </c>
    </row>
    <row r="106" outlineLevel="1" ht="30" customHeight="1">
      <c r="A106" s="14" t="n">
        <v>75</v>
      </c>
      <c r="B106" s="14" t="inlineStr">
        <is>
          <t>5.1-5.20</t>
        </is>
      </c>
      <c r="C106" s="14" t="inlineStr">
        <is>
          <t>大物集美</t>
        </is>
      </c>
      <c r="D106" s="14" t="inlineStr">
        <is>
          <t>6970356164296</t>
        </is>
      </c>
      <c r="E106" s="14" t="inlineStr">
        <is>
          <t>参半清新牙膏120g动感薄荷</t>
        </is>
      </c>
      <c r="F106" s="15" t="n">
        <v>48</v>
      </c>
      <c r="G106" s="17" t="n">
        <v>29.9</v>
      </c>
      <c r="H106" s="14" t="n">
        <v>10</v>
      </c>
      <c r="I106" s="14" t="inlineStr">
        <is>
          <t>SP-4 清新牙膏</t>
        </is>
      </c>
      <c r="J106" s="17" t="n">
        <v>3</v>
      </c>
      <c r="K106" s="18">
        <f>F106*J106</f>
        <v/>
      </c>
    </row>
    <row r="107" outlineLevel="1" ht="30" customHeight="1">
      <c r="A107" s="14" t="n">
        <v>76</v>
      </c>
      <c r="B107" s="14" t="inlineStr">
        <is>
          <t>5.1-5.20</t>
        </is>
      </c>
      <c r="C107" s="14" t="inlineStr">
        <is>
          <t>大物集美</t>
        </is>
      </c>
      <c r="D107" s="14" t="inlineStr">
        <is>
          <t>6970356164289</t>
        </is>
      </c>
      <c r="E107" s="14" t="inlineStr">
        <is>
          <t>参半美白牙膏120g香域茉莉味</t>
        </is>
      </c>
      <c r="F107" s="15" t="n">
        <v>36</v>
      </c>
      <c r="G107" s="17" t="n">
        <v>29.9</v>
      </c>
      <c r="H107" s="14" t="n">
        <v>9</v>
      </c>
      <c r="I107" s="14" t="inlineStr">
        <is>
          <t>SP-4 美白牙膏</t>
        </is>
      </c>
      <c r="J107" s="17" t="n">
        <v>3</v>
      </c>
      <c r="K107" s="18">
        <f>F107*J107</f>
        <v/>
      </c>
    </row>
    <row r="108" outlineLevel="1" ht="30" customHeight="1">
      <c r="A108" s="14" t="n">
        <v>77</v>
      </c>
      <c r="B108" s="14" t="inlineStr">
        <is>
          <t>5.1-5.20</t>
        </is>
      </c>
      <c r="C108" s="14" t="inlineStr">
        <is>
          <t>大物集美</t>
        </is>
      </c>
      <c r="D108" s="14" t="inlineStr">
        <is>
          <t>6970356166832</t>
        </is>
      </c>
      <c r="E108" s="14" t="inlineStr">
        <is>
          <t>参半羟基磷灰石牙膏100g满陇桂雨味</t>
        </is>
      </c>
      <c r="F108" s="15" t="n">
        <v>28</v>
      </c>
      <c r="G108" s="17" t="n">
        <v>24.9</v>
      </c>
      <c r="H108" s="14" t="n">
        <v>1</v>
      </c>
      <c r="I108" s="14" t="inlineStr">
        <is>
          <t>羟基磷灰石修复牙膏</t>
        </is>
      </c>
      <c r="J108" s="17" t="n">
        <v>3</v>
      </c>
      <c r="K108" s="18">
        <f>F108*J108</f>
        <v/>
      </c>
    </row>
    <row r="109" outlineLevel="1" ht="30" customHeight="1">
      <c r="A109" s="14" t="n">
        <v>78</v>
      </c>
      <c r="B109" s="14" t="inlineStr">
        <is>
          <t>5.1-5.20</t>
        </is>
      </c>
      <c r="C109" s="14" t="inlineStr">
        <is>
          <t>大物集美</t>
        </is>
      </c>
      <c r="D109" s="14" t="inlineStr">
        <is>
          <t>6970356162391</t>
        </is>
      </c>
      <c r="E109" s="14" t="inlineStr">
        <is>
          <t>参半沸石净齿牙膏140g清新苍兰</t>
        </is>
      </c>
      <c r="F109" s="15" t="n">
        <v>37</v>
      </c>
      <c r="G109" s="17" t="n">
        <v>29.9</v>
      </c>
      <c r="H109" s="14" t="n">
        <v>2</v>
      </c>
      <c r="I109" s="14" t="inlineStr">
        <is>
          <t>沸石净齿牙膏</t>
        </is>
      </c>
      <c r="J109" s="17" t="n">
        <v>3</v>
      </c>
      <c r="K109" s="18">
        <f>F109*J109</f>
        <v/>
      </c>
    </row>
    <row r="110" outlineLevel="1" ht="30" customHeight="1">
      <c r="A110" s="14" t="n">
        <v>79</v>
      </c>
      <c r="B110" s="14" t="inlineStr">
        <is>
          <t>5.1-5.20</t>
        </is>
      </c>
      <c r="C110" s="14" t="inlineStr">
        <is>
          <t>大物集美</t>
        </is>
      </c>
      <c r="D110" s="14" t="inlineStr">
        <is>
          <t>6970356162810</t>
        </is>
      </c>
      <c r="E110" s="14" t="inlineStr">
        <is>
          <t>参半沸石美白牙膏140g海角雏菊</t>
        </is>
      </c>
      <c r="F110" s="15" t="n">
        <v>44</v>
      </c>
      <c r="G110" s="17" t="n">
        <v>29.9</v>
      </c>
      <c r="H110" s="14" t="n">
        <v>3</v>
      </c>
      <c r="I110" s="14" t="inlineStr">
        <is>
          <t>沸石美白牙膏</t>
        </is>
      </c>
      <c r="J110" s="17" t="n">
        <v>3</v>
      </c>
      <c r="K110" s="18">
        <f>F110*J110</f>
        <v/>
      </c>
    </row>
    <row r="111" outlineLevel="1" ht="30" customHeight="1">
      <c r="A111" s="14" t="n">
        <v>80</v>
      </c>
      <c r="B111" s="14" t="inlineStr">
        <is>
          <t>5.1-5.20</t>
        </is>
      </c>
      <c r="C111" s="14" t="inlineStr">
        <is>
          <t>大物集美</t>
        </is>
      </c>
      <c r="D111" s="14" t="inlineStr">
        <is>
          <t>6970356164395</t>
        </is>
      </c>
      <c r="E111" s="14" t="inlineStr">
        <is>
          <t>参半极光白酵素1+1超值装牙膏(极光白160g+龙井100g)</t>
        </is>
      </c>
      <c r="F111" s="15" t="n">
        <v>24</v>
      </c>
      <c r="G111" s="17" t="n">
        <v>19.9</v>
      </c>
      <c r="H111" s="14" t="n">
        <v>5</v>
      </c>
      <c r="I111" s="14" t="inlineStr">
        <is>
          <t>光白酵素1+1超值装牙膏</t>
        </is>
      </c>
      <c r="J111" s="17" t="n">
        <v>3</v>
      </c>
      <c r="K111" s="18">
        <f>F111*J111</f>
        <v/>
      </c>
    </row>
    <row r="112" outlineLevel="1" ht="30" customHeight="1">
      <c r="A112" s="14" t="n">
        <v>81</v>
      </c>
      <c r="B112" s="14" t="inlineStr">
        <is>
          <t>5.1-5.20</t>
        </is>
      </c>
      <c r="C112" s="14" t="inlineStr">
        <is>
          <t>大物集美</t>
        </is>
      </c>
      <c r="D112" s="14" t="inlineStr">
        <is>
          <t>6970356162636</t>
        </is>
      </c>
      <c r="E112" s="14" t="inlineStr">
        <is>
          <t>参半专研清新美白牙膏100g</t>
        </is>
      </c>
      <c r="F112" s="15" t="n">
        <v>36</v>
      </c>
      <c r="G112" s="17" t="n">
        <v>29.9</v>
      </c>
      <c r="H112" s="14" t="n">
        <v>8</v>
      </c>
      <c r="I112" s="14" t="inlineStr">
        <is>
          <t>专研清新美白牙膏</t>
        </is>
      </c>
      <c r="J112" s="17" t="n">
        <v>3</v>
      </c>
      <c r="K112" s="18">
        <f>F112*J112</f>
        <v/>
      </c>
    </row>
    <row r="113" outlineLevel="1" ht="30" customHeight="1">
      <c r="A113" s="14" t="n">
        <v>82</v>
      </c>
      <c r="B113" s="14" t="inlineStr">
        <is>
          <t>5.1-5.20</t>
        </is>
      </c>
      <c r="C113" s="14" t="inlineStr">
        <is>
          <t>大物集美</t>
        </is>
      </c>
      <c r="D113" s="14" t="inlineStr">
        <is>
          <t>6970356169338</t>
        </is>
      </c>
      <c r="E113" s="14" t="inlineStr">
        <is>
          <t>参半可益白牙膏葡萄知梨120g</t>
        </is>
      </c>
      <c r="F113" s="15" t="n">
        <v>42</v>
      </c>
      <c r="G113" s="17" t="n">
        <v>29.9</v>
      </c>
      <c r="H113" s="14" t="n">
        <v>6</v>
      </c>
      <c r="I113" s="14" t="inlineStr">
        <is>
          <t>可益白牙膏葡萄知梨牙膏</t>
        </is>
      </c>
      <c r="J113" s="17" t="n">
        <v>3</v>
      </c>
      <c r="K113" s="18">
        <f>F113*J113</f>
        <v/>
      </c>
    </row>
    <row r="114" outlineLevel="1" ht="30" customHeight="1">
      <c r="A114" s="14" t="n">
        <v>83</v>
      </c>
      <c r="B114" s="14" t="inlineStr">
        <is>
          <t>5.1-5.20</t>
        </is>
      </c>
      <c r="C114" s="14" t="inlineStr">
        <is>
          <t>大物集美</t>
        </is>
      </c>
      <c r="D114" s="14" t="inlineStr">
        <is>
          <t>6970356169321</t>
        </is>
      </c>
      <c r="E114" s="14" t="inlineStr">
        <is>
          <t>参半可益清牙膏葡见茶爽120g</t>
        </is>
      </c>
      <c r="F114" s="15" t="n">
        <v>29</v>
      </c>
      <c r="G114" s="17" t="n">
        <v>29.9</v>
      </c>
      <c r="H114" s="14" t="n">
        <v>7</v>
      </c>
      <c r="I114" s="14" t="inlineStr">
        <is>
          <t>可益清牙膏葡见茶爽牙膏</t>
        </is>
      </c>
      <c r="J114" s="17" t="n">
        <v>3</v>
      </c>
      <c r="K114" s="18">
        <f>F114*J114</f>
        <v/>
      </c>
    </row>
    <row r="115">
      <c r="A115" s="22" t="inlineStr">
        <is>
          <t>合计</t>
        </is>
      </c>
      <c r="B115" s="22" t="n"/>
      <c r="C115" s="22" t="n"/>
      <c r="D115" s="22" t="n"/>
      <c r="E115" s="22" t="n"/>
      <c r="F115" s="23">
        <f>SUM(F45:F114)</f>
        <v/>
      </c>
      <c r="G115" s="22" t="n"/>
      <c r="H115" s="22" t="n"/>
      <c r="I115" s="22" t="n"/>
      <c r="J115" s="22" t="n"/>
      <c r="K115" s="23">
        <f>SUM(K45:K114)</f>
        <v/>
      </c>
    </row>
    <row r="117" ht="24" customHeight="1">
      <c r="A117" s="11" t="inlineStr">
        <is>
          <t>四、7家门店应付奖励与转账截图比对</t>
        </is>
      </c>
    </row>
    <row r="118" ht="42" customHeight="1">
      <c r="A118" s="12" t="inlineStr">
        <is>
          <t>Excel按门店汇总10个SKU奖励；截图按发送/接收镜像去重。金额集合匹配不等于收款身份匹配。</t>
        </is>
      </c>
    </row>
    <row r="119" ht="30" customHeight="1">
      <c r="A119" s="13" t="inlineStr">
        <is>
          <t>门店</t>
        </is>
      </c>
      <c r="B119" s="13" t="inlineStr">
        <is>
          <t>Excel销售数量</t>
        </is>
      </c>
      <c r="C119" s="13" t="inlineStr">
        <is>
          <t>奖励单价</t>
        </is>
      </c>
      <c r="D119" s="13" t="inlineStr">
        <is>
          <t>Excel应付奖励</t>
        </is>
      </c>
      <c r="E119" s="13" t="inlineStr">
        <is>
          <t>转账ID</t>
        </is>
      </c>
      <c r="F119" s="13" t="inlineStr">
        <is>
          <t>去重转账金额</t>
        </is>
      </c>
      <c r="G119" s="13" t="inlineStr">
        <is>
          <t>金额差异</t>
        </is>
      </c>
      <c r="H119" s="13" t="inlineStr">
        <is>
          <t>截图来源</t>
        </is>
      </c>
      <c r="I119" s="13" t="inlineStr">
        <is>
          <t>可见身份</t>
        </is>
      </c>
      <c r="J119" s="13" t="inlineStr">
        <is>
          <t>可见日期</t>
        </is>
      </c>
      <c r="K119" s="13" t="inlineStr">
        <is>
          <t>匹配依据</t>
        </is>
      </c>
      <c r="L119" s="13" t="inlineStr">
        <is>
          <t>结论</t>
        </is>
      </c>
      <c r="M119" s="13" t="inlineStr">
        <is>
          <t>限制</t>
        </is>
      </c>
    </row>
    <row r="120" ht="60" customHeight="1">
      <c r="A120" s="14" t="inlineStr">
        <is>
          <t>云朵饰品</t>
        </is>
      </c>
      <c r="B120" s="15" t="n">
        <v>345</v>
      </c>
      <c r="C120" s="17" t="n">
        <v>3</v>
      </c>
      <c r="D120" s="18">
        <f>B120*C120</f>
        <v/>
      </c>
      <c r="E120" s="14" t="inlineStr">
        <is>
          <t>transfer-001</t>
        </is>
      </c>
      <c r="F120" s="17" t="n">
        <v>1035</v>
      </c>
      <c r="G120" s="18">
        <f>F120-D120</f>
        <v/>
      </c>
      <c r="H120" s="14" t="inlineStr">
        <is>
          <t>雨瑶人员激励红包图片.jpg</t>
        </is>
      </c>
      <c r="I120" s="14" t="inlineStr">
        <is>
          <t>不可见</t>
        </is>
      </c>
      <c r="J120" s="14" t="inlineStr">
        <is>
          <t>否</t>
        </is>
      </c>
      <c r="K120" s="14" t="inlineStr">
        <is>
          <t>金额集合匹配</t>
        </is>
      </c>
      <c r="L120" s="20" t="inlineStr">
        <is>
          <t>金额匹配，身份未验证</t>
        </is>
      </c>
      <c r="M120" s="14" t="inlineStr">
        <is>
          <t>金额仅按集合配对；未取得门店与收款人的身份映射。未见完整日历日期。</t>
        </is>
      </c>
    </row>
    <row r="121" ht="60" customHeight="1">
      <c r="A121" s="14" t="inlineStr">
        <is>
          <t>红梅名妆</t>
        </is>
      </c>
      <c r="B121" s="15" t="n">
        <v>352</v>
      </c>
      <c r="C121" s="17" t="n">
        <v>3</v>
      </c>
      <c r="D121" s="18">
        <f>B121*C121</f>
        <v/>
      </c>
      <c r="E121" s="14" t="inlineStr">
        <is>
          <t>transfer-002</t>
        </is>
      </c>
      <c r="F121" s="17" t="n">
        <v>1056</v>
      </c>
      <c r="G121" s="18">
        <f>F121-D121</f>
        <v/>
      </c>
      <c r="H121" s="14" t="inlineStr">
        <is>
          <t>雨瑶人员激励红包图片.jpg</t>
        </is>
      </c>
      <c r="I121" s="14" t="inlineStr">
        <is>
          <t>不可见</t>
        </is>
      </c>
      <c r="J121" s="14" t="inlineStr">
        <is>
          <t>否</t>
        </is>
      </c>
      <c r="K121" s="14" t="inlineStr">
        <is>
          <t>金额集合匹配</t>
        </is>
      </c>
      <c r="L121" s="20" t="inlineStr">
        <is>
          <t>金额匹配，身份未验证</t>
        </is>
      </c>
      <c r="M121" s="14" t="inlineStr">
        <is>
          <t>金额仅按集合配对；未取得门店与收款人的身份映射。未见完整日历日期。</t>
        </is>
      </c>
    </row>
    <row r="122" ht="60" customHeight="1">
      <c r="A122" s="14" t="inlineStr">
        <is>
          <t>丽源名妆</t>
        </is>
      </c>
      <c r="B122" s="15" t="n">
        <v>344</v>
      </c>
      <c r="C122" s="17" t="n">
        <v>3</v>
      </c>
      <c r="D122" s="18">
        <f>B122*C122</f>
        <v/>
      </c>
      <c r="E122" s="14" t="inlineStr">
        <is>
          <t>transfer-003</t>
        </is>
      </c>
      <c r="F122" s="17" t="n">
        <v>1032</v>
      </c>
      <c r="G122" s="18">
        <f>F122-D122</f>
        <v/>
      </c>
      <c r="H122" s="14" t="inlineStr">
        <is>
          <t>雨瑶人员激励红包图片.jpg</t>
        </is>
      </c>
      <c r="I122" s="14" t="inlineStr">
        <is>
          <t>不可见</t>
        </is>
      </c>
      <c r="J122" s="14" t="inlineStr">
        <is>
          <t>否</t>
        </is>
      </c>
      <c r="K122" s="14" t="inlineStr">
        <is>
          <t>金额集合匹配</t>
        </is>
      </c>
      <c r="L122" s="20" t="inlineStr">
        <is>
          <t>金额匹配，身份未验证</t>
        </is>
      </c>
      <c r="M122" s="14" t="inlineStr">
        <is>
          <t>金额仅按集合配对；未取得门店与收款人的身份映射。未见完整日历日期。</t>
        </is>
      </c>
    </row>
    <row r="123" ht="60" customHeight="1">
      <c r="A123" s="14" t="inlineStr">
        <is>
          <t>米菲精品</t>
        </is>
      </c>
      <c r="B123" s="15" t="n">
        <v>338</v>
      </c>
      <c r="C123" s="17" t="n">
        <v>3</v>
      </c>
      <c r="D123" s="18">
        <f>B123*C123</f>
        <v/>
      </c>
      <c r="E123" s="14" t="inlineStr">
        <is>
          <t>transfer-004</t>
        </is>
      </c>
      <c r="F123" s="17" t="n">
        <v>1014</v>
      </c>
      <c r="G123" s="18">
        <f>F123-D123</f>
        <v/>
      </c>
      <c r="H123" s="14" t="inlineStr">
        <is>
          <t>雨瑶人员激励红包图片2.jpg</t>
        </is>
      </c>
      <c r="I123" s="14" t="inlineStr">
        <is>
          <t>闫志文</t>
        </is>
      </c>
      <c r="J123" s="14" t="inlineStr">
        <is>
          <t>否</t>
        </is>
      </c>
      <c r="K123" s="14" t="inlineStr">
        <is>
          <t>金额集合匹配</t>
        </is>
      </c>
      <c r="L123" s="20" t="inlineStr">
        <is>
          <t>金额匹配，身份未验证</t>
        </is>
      </c>
      <c r="M123" s="14" t="inlineStr">
        <is>
          <t>金额仅按集合配对；未取得门店与收款人的身份映射。未见完整日历日期。</t>
        </is>
      </c>
    </row>
    <row r="124" ht="60" customHeight="1">
      <c r="A124" s="14" t="inlineStr">
        <is>
          <t>桐贝美妆</t>
        </is>
      </c>
      <c r="B124" s="15" t="n">
        <v>365</v>
      </c>
      <c r="C124" s="17" t="n">
        <v>3</v>
      </c>
      <c r="D124" s="18">
        <f>B124*C124</f>
        <v/>
      </c>
      <c r="E124" s="14" t="inlineStr">
        <is>
          <t>transfer-006</t>
        </is>
      </c>
      <c r="F124" s="17" t="n">
        <v>1095</v>
      </c>
      <c r="G124" s="18">
        <f>F124-D124</f>
        <v/>
      </c>
      <c r="H124" s="14" t="inlineStr">
        <is>
          <t>雨瑶人员激励红包图片2.jpg</t>
        </is>
      </c>
      <c r="I124" s="14" t="inlineStr">
        <is>
          <t>闫志文</t>
        </is>
      </c>
      <c r="J124" s="14" t="inlineStr">
        <is>
          <t>否</t>
        </is>
      </c>
      <c r="K124" s="14" t="inlineStr">
        <is>
          <t>金额集合匹配</t>
        </is>
      </c>
      <c r="L124" s="20" t="inlineStr">
        <is>
          <t>金额匹配，身份未验证</t>
        </is>
      </c>
      <c r="M124" s="14" t="inlineStr">
        <is>
          <t>金额仅按集合配对；未取得门店与收款人的身份映射。未见完整日历日期。</t>
        </is>
      </c>
    </row>
    <row r="125" ht="60" customHeight="1">
      <c r="A125" s="14" t="inlineStr">
        <is>
          <t>时尚密码</t>
        </is>
      </c>
      <c r="B125" s="15" t="n">
        <v>365</v>
      </c>
      <c r="C125" s="17" t="n">
        <v>3</v>
      </c>
      <c r="D125" s="18">
        <f>B125*C125</f>
        <v/>
      </c>
      <c r="E125" s="14" t="inlineStr">
        <is>
          <t>transfer-005</t>
        </is>
      </c>
      <c r="F125" s="17" t="n">
        <v>1095</v>
      </c>
      <c r="G125" s="18">
        <f>F125-D125</f>
        <v/>
      </c>
      <c r="H125" s="14" t="inlineStr">
        <is>
          <t>雨瑶人员激励红包图片2.jpg</t>
        </is>
      </c>
      <c r="I125" s="14" t="inlineStr">
        <is>
          <t>闫志文</t>
        </is>
      </c>
      <c r="J125" s="14" t="inlineStr">
        <is>
          <t>否</t>
        </is>
      </c>
      <c r="K125" s="14" t="inlineStr">
        <is>
          <t>金额集合匹配</t>
        </is>
      </c>
      <c r="L125" s="20" t="inlineStr">
        <is>
          <t>金额匹配，身份未验证</t>
        </is>
      </c>
      <c r="M125" s="14" t="inlineStr">
        <is>
          <t>金额仅按集合配对；未取得门店与收款人的身份映射。未见完整日历日期。</t>
        </is>
      </c>
    </row>
    <row r="126" ht="60" customHeight="1">
      <c r="A126" s="14" t="inlineStr">
        <is>
          <t>大物集美</t>
        </is>
      </c>
      <c r="B126" s="15" t="n">
        <v>342</v>
      </c>
      <c r="C126" s="17" t="n">
        <v>3</v>
      </c>
      <c r="D126" s="18">
        <f>B126*C126</f>
        <v/>
      </c>
      <c r="E126" s="14" t="inlineStr">
        <is>
          <t>transfer-007</t>
        </is>
      </c>
      <c r="F126" s="17" t="n">
        <v>1026</v>
      </c>
      <c r="G126" s="18">
        <f>F126-D126</f>
        <v/>
      </c>
      <c r="H126" s="14" t="inlineStr">
        <is>
          <t>雨瑶人员激励红包图片2.jpg</t>
        </is>
      </c>
      <c r="I126" s="14" t="inlineStr">
        <is>
          <t>闫志文</t>
        </is>
      </c>
      <c r="J126" s="14" t="inlineStr">
        <is>
          <t>否</t>
        </is>
      </c>
      <c r="K126" s="14" t="inlineStr">
        <is>
          <t>金额集合匹配</t>
        </is>
      </c>
      <c r="L126" s="20" t="inlineStr">
        <is>
          <t>金额匹配，身份未验证</t>
        </is>
      </c>
      <c r="M126" s="14" t="inlineStr">
        <is>
          <t>金额仅按集合配对；未取得门店与收款人的身份映射。未见完整日历日期。</t>
        </is>
      </c>
    </row>
    <row r="127">
      <c r="A127" s="21" t="inlineStr">
        <is>
          <t>合计</t>
        </is>
      </c>
      <c r="B127" s="21">
        <f>SUM(B120:B126)</f>
        <v/>
      </c>
      <c r="C127" s="21" t="n"/>
      <c r="D127" s="21">
        <f>SUM(D120:D126)</f>
        <v/>
      </c>
      <c r="E127" s="21" t="n"/>
      <c r="F127" s="21">
        <f>SUM(F120:F126)</f>
        <v/>
      </c>
      <c r="G127" s="21">
        <f>SUM(G120:G126)</f>
        <v/>
      </c>
      <c r="H127" s="21" t="n"/>
      <c r="I127" s="21" t="n"/>
      <c r="J127" s="21" t="n"/>
      <c r="K127" s="21" t="n"/>
      <c r="L127" s="21" t="n"/>
      <c r="M127" s="21" t="n"/>
    </row>
    <row r="129" ht="24" customHeight="1">
      <c r="A129" s="11" t="inlineStr">
        <is>
          <t>五、转账截图去重明细</t>
        </is>
      </c>
    </row>
    <row r="130" ht="42" customHeight="1">
      <c r="A130" s="12" t="inlineStr">
        <is>
          <t>同一笔转账的发送方与接收方气泡合并为一个transfer_id，同时保留出现次数和去重依据。</t>
        </is>
      </c>
    </row>
    <row r="131" ht="30" customHeight="1">
      <c r="A131" s="13" t="inlineStr">
        <is>
          <t>转账ID</t>
        </is>
      </c>
      <c r="B131" s="13" t="inlineStr">
        <is>
          <t>金额</t>
        </is>
      </c>
      <c r="C131" s="13" t="inlineStr">
        <is>
          <t>画面次数</t>
        </is>
      </c>
      <c r="D131" s="13" t="inlineStr">
        <is>
          <t>身份可见</t>
        </is>
      </c>
      <c r="E131" s="13" t="inlineStr">
        <is>
          <t>日期可见</t>
        </is>
      </c>
      <c r="F131" s="13" t="inlineStr">
        <is>
          <t>门店/收款人</t>
        </is>
      </c>
      <c r="G131" s="13" t="inlineStr">
        <is>
          <t>来源文件</t>
        </is>
      </c>
      <c r="H131" s="13" t="inlineStr">
        <is>
          <t>去重依据</t>
        </is>
      </c>
      <c r="I131" s="13" t="inlineStr">
        <is>
          <t>备注</t>
        </is>
      </c>
    </row>
    <row r="132" outlineLevel="1" ht="72" customHeight="1">
      <c r="A132" s="14" t="inlineStr">
        <is>
          <t>transfer-001</t>
        </is>
      </c>
      <c r="B132" s="17" t="n">
        <v>1035</v>
      </c>
      <c r="C132" s="15" t="n">
        <v>2</v>
      </c>
      <c r="D132" s="14" t="inlineStr">
        <is>
          <t>否</t>
        </is>
      </c>
      <c r="E132" s="14" t="inlineStr">
        <is>
          <t>否</t>
        </is>
      </c>
      <c r="F132" s="14" t="n"/>
      <c r="G132" s="14" t="inlineStr">
        <is>
          <t>雨瑶人员激励红包图片.jpg</t>
        </is>
      </c>
      <c r="H132" s="14" t="inlineStr">
        <is>
          <t>Paired one right-side card marked 已被接收 with one left-side card marked 已收款 because they share amount 1035 and the corresponding first position in the repeated 1035/1056/1032 sequence. occurrence_count retains both visible cards; this is a screenshot-level two-view inference, not amount-only store matching.</t>
        </is>
      </c>
      <c r="I132" s="14" t="inlineStr">
        <is>
          <t>The visible chat title is 业务团队, which does not identify an individual recipient or store.；Only weekday/time-style UI labels and a device clock are visible; no calendar transfer date or transaction identifier is shown.</t>
        </is>
      </c>
    </row>
    <row r="133" outlineLevel="1" ht="72" customHeight="1">
      <c r="A133" s="14" t="inlineStr">
        <is>
          <t>transfer-002</t>
        </is>
      </c>
      <c r="B133" s="17" t="n">
        <v>1056</v>
      </c>
      <c r="C133" s="15" t="n">
        <v>2</v>
      </c>
      <c r="D133" s="14" t="inlineStr">
        <is>
          <t>否</t>
        </is>
      </c>
      <c r="E133" s="14" t="inlineStr">
        <is>
          <t>否</t>
        </is>
      </c>
      <c r="F133" s="14" t="n"/>
      <c r="G133" s="14" t="inlineStr">
        <is>
          <t>雨瑶人员激励红包图片.jpg</t>
        </is>
      </c>
      <c r="H133" s="14" t="inlineStr">
        <is>
          <t>Paired one right-side card marked 已被接收 with one left-side card marked 已收款 because they share amount 1056 and the corresponding second position in the repeated 1035/1056/1032 sequence. occurrence_count retains both visible cards; this is a screenshot-level two-view inference, not amount-only store matching.</t>
        </is>
      </c>
      <c r="I133" s="14" t="inlineStr">
        <is>
          <t>The visible chat title is 业务团队, which does not identify an individual recipient or store.；Only weekday/time-style UI labels and a device clock are visible; no calendar transfer date or transaction identifier is shown.</t>
        </is>
      </c>
    </row>
    <row r="134" outlineLevel="1" ht="72" customHeight="1">
      <c r="A134" s="14" t="inlineStr">
        <is>
          <t>transfer-003</t>
        </is>
      </c>
      <c r="B134" s="17" t="n">
        <v>1032</v>
      </c>
      <c r="C134" s="15" t="n">
        <v>2</v>
      </c>
      <c r="D134" s="14" t="inlineStr">
        <is>
          <t>否</t>
        </is>
      </c>
      <c r="E134" s="14" t="inlineStr">
        <is>
          <t>否</t>
        </is>
      </c>
      <c r="F134" s="14" t="n"/>
      <c r="G134" s="14" t="inlineStr">
        <is>
          <t>雨瑶人员激励红包图片.jpg</t>
        </is>
      </c>
      <c r="H134" s="14" t="inlineStr">
        <is>
          <t>Paired one right-side card marked 已被接收 with one left-side card marked 已收款 because they share amount 1032 and the corresponding third position in the repeated 1035/1056/1032 sequence. occurrence_count retains both visible cards; this is a screenshot-level two-view inference, not amount-only store matching.</t>
        </is>
      </c>
      <c r="I134" s="14" t="inlineStr">
        <is>
          <t>The visible chat title is 业务团队, which does not identify an individual recipient or store.；Only weekday/time-style UI labels and a device clock are visible; no calendar transfer date or transaction identifier is shown.</t>
        </is>
      </c>
    </row>
    <row r="135" outlineLevel="1" ht="72" customHeight="1">
      <c r="A135" s="14" t="inlineStr">
        <is>
          <t>transfer-004</t>
        </is>
      </c>
      <c r="B135" s="17" t="n">
        <v>1014</v>
      </c>
      <c r="C135" s="15" t="n">
        <v>2</v>
      </c>
      <c r="D135" s="14" t="inlineStr">
        <is>
          <t>是</t>
        </is>
      </c>
      <c r="E135" s="14" t="inlineStr">
        <is>
          <t>否</t>
        </is>
      </c>
      <c r="F135" s="14" t="inlineStr">
        <is>
          <t>闫志文</t>
        </is>
      </c>
      <c r="G135" s="14" t="inlineStr">
        <is>
          <t>雨瑶人员激励红包图片2.jpg</t>
        </is>
      </c>
      <c r="H135" s="14" t="inlineStr">
        <is>
          <t>Paired the first right-side 1014 card marked 已被接收 with the first left-side 1014 card marked 已收款 based on identical amount and corresponding position in the repeated transfer multiset. occurrence_count retains both visible cards; no store assignment was made.</t>
        </is>
      </c>
      <c r="I135" s="14" t="inlineStr">
        <is>
          <t>The chat header visibly reads 同事 市场部 闫志文; recipient_name records only the visible name 闫志文 and does not establish a link to any Excel store.；The device clock 10:54 is visible, but no calendar transfer date or transaction identifier is shown.</t>
        </is>
      </c>
    </row>
    <row r="136" outlineLevel="1" ht="72" customHeight="1">
      <c r="A136" s="14" t="inlineStr">
        <is>
          <t>transfer-005</t>
        </is>
      </c>
      <c r="B136" s="17" t="n">
        <v>1095</v>
      </c>
      <c r="C136" s="15" t="n">
        <v>2</v>
      </c>
      <c r="D136" s="14" t="inlineStr">
        <is>
          <t>是</t>
        </is>
      </c>
      <c r="E136" s="14" t="inlineStr">
        <is>
          <t>否</t>
        </is>
      </c>
      <c r="F136" s="14" t="inlineStr">
        <is>
          <t>闫志文</t>
        </is>
      </c>
      <c r="G136" s="14" t="inlineStr">
        <is>
          <t>雨瑶人员激励红包图片2.jpg</t>
        </is>
      </c>
      <c r="H136" s="14" t="inlineStr">
        <is>
          <t>The screenshot contains two right-side 1095 cards and two left-side 1095 cards, so two underlying same-amount transfers are retained. This entry represents one count-based pairing of one right and one left occurrence; exact pairing between the identical 1095 cards is visually indistinguishable.</t>
        </is>
      </c>
      <c r="I136" s="14" t="inlineStr">
        <is>
          <t>The chat header visibly reads 同事 市场部 闫志文; recipient_name records only the visible name 闫志文 and does not establish a link to any Excel store.；Among the four 1095 occurrences, one left-side card is partially cropped by the bottom input bar; because the same-amount transactions are indistinguishable, that crop limitation cannot be assigned to one specific transfer.；No calendar transfer date or transaction identifier is shown.</t>
        </is>
      </c>
    </row>
    <row r="137" outlineLevel="1" ht="72" customHeight="1">
      <c r="A137" s="14" t="inlineStr">
        <is>
          <t>transfer-006</t>
        </is>
      </c>
      <c r="B137" s="17" t="n">
        <v>1095</v>
      </c>
      <c r="C137" s="15" t="n">
        <v>2</v>
      </c>
      <c r="D137" s="14" t="inlineStr">
        <is>
          <t>是</t>
        </is>
      </c>
      <c r="E137" s="14" t="inlineStr">
        <is>
          <t>否</t>
        </is>
      </c>
      <c r="F137" s="14" t="inlineStr">
        <is>
          <t>闫志文</t>
        </is>
      </c>
      <c r="G137" s="14" t="inlineStr">
        <is>
          <t>雨瑶人员激励红包图片2.jpg</t>
        </is>
      </c>
      <c r="H137" s="14" t="inlineStr">
        <is>
          <t>The screenshot contains two right-side 1095 cards and two left-side 1095 cards, so two underlying same-amount transfers are retained. This entry represents the second count-based pairing of one right and one left occurrence; exact pairing between the identical 1095 cards is visually indistinguishable.</t>
        </is>
      </c>
      <c r="I137" s="14" t="inlineStr">
        <is>
          <t>The chat header visibly reads 同事 市场部 闫志文; recipient_name records only the visible name 闫志文 and does not establish a link to any Excel store.；Among the four 1095 occurrences, one left-side card is partially cropped by the bottom input bar; because the same-amount transactions are indistinguishable, that crop limitation cannot be assigned to one specific transfer.；No calendar transfer date or transaction identifier is shown.</t>
        </is>
      </c>
    </row>
    <row r="138" outlineLevel="1" ht="72" customHeight="1">
      <c r="A138" s="14" t="inlineStr">
        <is>
          <t>transfer-007</t>
        </is>
      </c>
      <c r="B138" s="17" t="n">
        <v>1026</v>
      </c>
      <c r="C138" s="15" t="n">
        <v>2</v>
      </c>
      <c r="D138" s="14" t="inlineStr">
        <is>
          <t>是</t>
        </is>
      </c>
      <c r="E138" s="14" t="inlineStr">
        <is>
          <t>否</t>
        </is>
      </c>
      <c r="F138" s="14" t="inlineStr">
        <is>
          <t>闫志文</t>
        </is>
      </c>
      <c r="G138" s="14" t="inlineStr">
        <is>
          <t>雨瑶人员激励红包图片2.jpg</t>
        </is>
      </c>
      <c r="H138" s="14" t="inlineStr">
        <is>
          <t>Paired the right-side 1026 card marked 已被接收 with the left-side 1026 card marked 已收款 based on identical amount and the repeated transfer multiset. occurrence_count retains both visible cards; no store assignment was made.</t>
        </is>
      </c>
      <c r="I138" s="14" t="inlineStr">
        <is>
          <t>The chat header visibly reads 同事 市场部 闫志文; recipient_name records only the visible name 闫志文 and does not establish a link to any Excel store.；The device clock 10:54 is visible, but no calendar transfer date or transaction identifier is shown.</t>
        </is>
      </c>
    </row>
    <row r="140" ht="24" customHeight="1">
      <c r="A140" s="11" t="inlineStr">
        <is>
          <t>六、结算单与转账截图真实性风险辅助检查</t>
        </is>
      </c>
    </row>
    <row r="141" ht="42" customHeight="1">
      <c r="A141" s="12" t="inlineStr">
        <is>
          <t>SHA-256检查完全重复，pHash/dHash筛查近似画面；EXIF/GPS缺失不能自动判假，也不能自动判真。</t>
        </is>
      </c>
    </row>
    <row r="142" ht="30" customHeight="1">
      <c r="A142" s="13" t="inlineStr">
        <is>
          <t>文件名</t>
        </is>
      </c>
      <c r="B142" s="13" t="inlineStr">
        <is>
          <t>角色</t>
        </is>
      </c>
      <c r="C142" s="13" t="inlineStr">
        <is>
          <t>尺寸</t>
        </is>
      </c>
      <c r="D142" s="13" t="inlineStr">
        <is>
          <t>大小(字节)</t>
        </is>
      </c>
      <c r="E142" s="13" t="inlineStr">
        <is>
          <t>SHA-256</t>
        </is>
      </c>
      <c r="F142" s="13" t="inlineStr">
        <is>
          <t>pHash</t>
        </is>
      </c>
      <c r="G142" s="13" t="inlineStr">
        <is>
          <t>dHash</t>
        </is>
      </c>
      <c r="H142" s="13" t="inlineStr">
        <is>
          <t>EXIF时间</t>
        </is>
      </c>
      <c r="I142" s="13" t="inlineStr">
        <is>
          <t>GPS</t>
        </is>
      </c>
      <c r="J142" s="13" t="inlineStr">
        <is>
          <t>pHash候选</t>
        </is>
      </c>
    </row>
    <row r="143" ht="78" customHeight="1">
      <c r="A143" s="14" t="inlineStr">
        <is>
          <t>郑州雨瑶5.1-5.20人员激励活动结算单.jpg</t>
        </is>
      </c>
      <c r="B143" s="14" t="inlineStr">
        <is>
          <t>最终结算单</t>
        </is>
      </c>
      <c r="C143" s="14" t="inlineStr">
        <is>
          <t>1920×1080</t>
        </is>
      </c>
      <c r="D143" s="15" t="n">
        <v>645182</v>
      </c>
      <c r="E143" s="14" t="inlineStr">
        <is>
          <t>898a8061a91af8d681ccdb650b43a07a42b96272407ba249dd64dc53b4bbc4e6</t>
        </is>
      </c>
      <c r="F143" s="14" t="inlineStr">
        <is>
          <t>d5f1828fc49e9332</t>
        </is>
      </c>
      <c r="G143" s="14" t="inlineStr">
        <is>
          <t>84a9a99f93a6aeba</t>
        </is>
      </c>
      <c r="H143" s="14" t="n"/>
      <c r="I143" s="14" t="inlineStr">
        <is>
          <t>无</t>
        </is>
      </c>
      <c r="J143" s="14" t="inlineStr">
        <is>
          <t>无</t>
        </is>
      </c>
    </row>
    <row r="144" ht="78" customHeight="1">
      <c r="A144" s="14" t="inlineStr">
        <is>
          <t>雨瑶人员激励红包图片.jpg</t>
        </is>
      </c>
      <c r="B144" s="14" t="inlineStr">
        <is>
          <t>转账截图</t>
        </is>
      </c>
      <c r="C144" s="14" t="inlineStr">
        <is>
          <t>1280×2774</t>
        </is>
      </c>
      <c r="D144" s="15" t="n">
        <v>194094</v>
      </c>
      <c r="E144" s="14" t="inlineStr">
        <is>
          <t>8aeda7f356dcf9123086cb55e6e60b4fc2049bfeaf784513dffcffa6f15b2529</t>
        </is>
      </c>
      <c r="F144" s="14" t="inlineStr">
        <is>
          <t>872ef460ead5ea41</t>
        </is>
      </c>
      <c r="G144" s="14" t="inlineStr">
        <is>
          <t>c884e470f9f1e969</t>
        </is>
      </c>
      <c r="H144" s="14" t="n"/>
      <c r="I144" s="14" t="inlineStr">
        <is>
          <t>无</t>
        </is>
      </c>
      <c r="J144" s="14" t="inlineStr">
        <is>
          <t>雨瑶人员激励红包图片2.jpg（距离6）</t>
        </is>
      </c>
    </row>
    <row r="145" ht="78" customHeight="1">
      <c r="A145" s="14" t="inlineStr">
        <is>
          <t>雨瑶人员激励红包图片2.jpg</t>
        </is>
      </c>
      <c r="B145" s="14" t="inlineStr">
        <is>
          <t>转账截图</t>
        </is>
      </c>
      <c r="C145" s="14" t="inlineStr">
        <is>
          <t>1280×2774</t>
        </is>
      </c>
      <c r="D145" s="15" t="n">
        <v>192057</v>
      </c>
      <c r="E145" s="14" t="inlineStr">
        <is>
          <t>de4aa8f6d75027e207571fcf365ed5d805a350ff7622b45f29bc7d803db8c8ca</t>
        </is>
      </c>
      <c r="F145" s="14" t="inlineStr">
        <is>
          <t>870ef568ea55aa51</t>
        </is>
      </c>
      <c r="G145" s="14" t="inlineStr">
        <is>
          <t>c4c4e470f9f9e949</t>
        </is>
      </c>
      <c r="H145" s="14" t="n"/>
      <c r="I145" s="14" t="inlineStr">
        <is>
          <t>无</t>
        </is>
      </c>
      <c r="J145" s="14" t="inlineStr">
        <is>
          <t>雨瑶人员激励红包图片.jpg（距离6）</t>
        </is>
      </c>
    </row>
    <row r="147" ht="24" customHeight="1">
      <c r="A147" s="11" t="inlineStr">
        <is>
          <t>1.4.1 七项分析维度</t>
        </is>
      </c>
    </row>
    <row r="148" ht="42" customHeight="1">
      <c r="A148" s="12" t="inlineStr">
        <is>
          <t>七个维度分别说明读取证据、实际检查、判定依据和能力边界；没有发票、预算或历史照片库时不会默认判为通过。</t>
        </is>
      </c>
    </row>
    <row r="149" ht="30" customHeight="1">
      <c r="A149" s="13" t="inlineStr">
        <is>
          <t>序号</t>
        </is>
      </c>
      <c r="B149" s="13" t="inlineStr">
        <is>
          <t>分析维度</t>
        </is>
      </c>
      <c r="C149" s="13" t="inlineStr">
        <is>
          <t>检测内容</t>
        </is>
      </c>
      <c r="E149" s="13" t="inlineStr">
        <is>
          <t>1.4.1判定标准</t>
        </is>
      </c>
      <c r="G149" s="13" t="inlineStr">
        <is>
          <t>本次读取文件/证据</t>
        </is>
      </c>
      <c r="I149" s="13" t="inlineStr">
        <is>
          <t>实际执行检查</t>
        </is>
      </c>
      <c r="K149" s="13" t="inlineStr">
        <is>
          <t>状态</t>
        </is>
      </c>
      <c r="L149" s="13" t="inlineStr">
        <is>
          <t>判定依据及能力边界/补证</t>
        </is>
      </c>
    </row>
    <row r="150" ht="108" customHeight="1">
      <c r="A150" s="14" t="inlineStr">
        <is>
          <t>1</t>
        </is>
      </c>
      <c r="B150" s="14" t="inlineStr">
        <is>
          <t>真实性验证</t>
        </is>
      </c>
      <c r="C150" s="14" t="inlineStr">
        <is>
          <t>文件是否被篡改/伪造</t>
        </is>
      </c>
      <c r="E150" s="14" t="inlineStr">
        <is>
          <t>EXIF信息完整性、图像指纹比对、水印一致性、数字签名验证</t>
        </is>
      </c>
      <c r="G150" s="14" t="inlineStr">
        <is>
          <t>雨瑶人员激励参半销售数据2.xlsx；郑州雨瑶5.1-5.20人员激励活动结算单.jpg；转账截图2张</t>
        </is>
      </c>
      <c r="I150" s="14" t="inlineStr">
        <is>
          <t>固定全部源文件SHA-256；读取结算单和转账截图可见内容；核对Excel公式与数值。</t>
        </is>
      </c>
      <c r="K150" s="20" t="inlineStr">
        <is>
          <t>证据不足</t>
        </is>
      </c>
      <c r="L150" s="14" t="inlineStr">
        <is>
          <t>判定依据：本包4个源文件已固定哈希；3张图片中EXIF时间0张、GPS 0张；但未提供数字签名、可信时间戳或像素级篡改检测结果。
能力边界/补证：SHA-256只证明收到后的字节身份，不能证明提交前从未被修改；需原始文件、数字签名或专业取证结果。</t>
        </is>
      </c>
    </row>
    <row r="151" ht="108" customHeight="1">
      <c r="A151" s="14" t="inlineStr">
        <is>
          <t>2</t>
        </is>
      </c>
      <c r="B151" s="14" t="inlineStr">
        <is>
          <t>真实性验证</t>
        </is>
      </c>
      <c r="C151" s="14" t="inlineStr">
        <is>
          <t>照片是否为现场实拍</t>
        </is>
      </c>
      <c r="E151" s="14" t="inlineStr">
        <is>
          <t>GPS坐标与申报门店匹配、拍摄时间在活动周期内、设备信息一致</t>
        </is>
      </c>
      <c r="G151" s="14" t="inlineStr">
        <is>
          <t>本场景没有现场陈列照片；结算单和转账截图</t>
        </is>
      </c>
      <c r="I151" s="14" t="inlineStr">
        <is>
          <t>检查转账截图中的身份、日期等可见字段，不把文件名或金额当作现场证明。</t>
        </is>
      </c>
      <c r="K151" s="24" t="inlineStr">
        <is>
          <t>本案未触发</t>
        </is>
      </c>
      <c r="L151" s="14" t="inlineStr">
        <is>
          <t>判定依据：7笔去重转账中，身份可见4笔、日期可见0笔；材料不是门店现场实拍照片。
能力边界/补证：若人员激励制度要求现场执行照片，应另行提交带可信时间、地点和设备信息的原始照片。</t>
        </is>
      </c>
    </row>
    <row r="152" ht="108" customHeight="1">
      <c r="A152" s="14" t="inlineStr">
        <is>
          <t>3</t>
        </is>
      </c>
      <c r="B152" s="14" t="inlineStr">
        <is>
          <t>真实性验证</t>
        </is>
      </c>
      <c r="C152" s="14" t="inlineStr">
        <is>
          <t>文件是否重复使用</t>
        </is>
      </c>
      <c r="E152" s="14" t="inlineStr">
        <is>
          <t>感知哈希（pHash）去重、跨活动文件复用检测</t>
        </is>
      </c>
      <c r="G152" s="14" t="inlineStr">
        <is>
          <t>雨瑶人员激励参半销售数据2.xlsx；郑州雨瑶5.1-5.20人员激励活动结算单.jpg；转账截图2张</t>
        </is>
      </c>
      <c r="I152" s="14" t="inlineStr">
        <is>
          <t>比较图片SHA-256并计算pHash近似指纹；按转账事件合并同一笔的发送/接收画面。</t>
        </is>
      </c>
      <c r="K152" s="20" t="inlineStr">
        <is>
          <t>部分验证</t>
        </is>
      </c>
      <c r="L152" s="14" t="inlineStr">
        <is>
          <t>判定依据：源文件哈希重复数为0，图片完全重复组0、pHash近似候选1组；转账画面按业务事件去重后为7笔。pHash候选需结合transfer_id判断，同一聊天内容的多张截图可能合理近似；没有跨活动历史库。
能力边界/补证：pHash候选只提示画面近似，不能直接判为重复造假；本次不能排除历史活动复用。</t>
        </is>
      </c>
    </row>
    <row r="153" ht="108" customHeight="1">
      <c r="A153" s="14" t="inlineStr">
        <is>
          <t>4</t>
        </is>
      </c>
      <c r="B153" s="14" t="inlineStr">
        <is>
          <t>合规性审查</t>
        </is>
      </c>
      <c r="C153" s="14" t="inlineStr">
        <is>
          <t>文件格式是否符合要求</t>
        </is>
      </c>
      <c r="E153" s="14" t="inlineStr">
        <is>
          <t>文件类型、分辨率、大小是否在允许范围内</t>
        </is>
      </c>
      <c r="G153" s="14" t="inlineStr">
        <is>
          <t>雨瑶人员激励参半销售数据2.xlsx；郑州雨瑶5.1-5.20人员激励活动结算单.jpg；转账截图2张</t>
        </is>
      </c>
      <c r="I153" s="14" t="inlineStr">
        <is>
          <t>ZIP入口校验文件可读性、单文件大小和安全解压；Excel与图片均已成功读取。</t>
        </is>
      </c>
      <c r="K153" s="20" t="inlineStr">
        <is>
          <t>部分验证</t>
        </is>
      </c>
      <c r="L153" s="14" t="inlineStr">
        <is>
          <t>判定依据：收到4个文件，销售Excel有效明细70行；但业务未提供允许的图片分辨率和文件大小阈值。
能力边界/补证：可读取不等于完全符合格式制度；需补充允许类型、最低分辨率和大小范围。</t>
        </is>
      </c>
    </row>
    <row r="154" ht="108" customHeight="1">
      <c r="A154" s="14" t="inlineStr">
        <is>
          <t>5</t>
        </is>
      </c>
      <c r="B154" s="14" t="inlineStr">
        <is>
          <t>合规性审查</t>
        </is>
      </c>
      <c r="C154" s="14" t="inlineStr">
        <is>
          <t>费用金额是否合理</t>
        </is>
      </c>
      <c r="E154" s="14" t="inlineStr">
        <is>
          <t>费用明细金额与活动预算比较，偏差超过30%标记异常</t>
        </is>
      </c>
      <c r="G154" s="14" t="inlineStr">
        <is>
          <t>郑州雨瑶5.1-5.20人员激励活动结算单.jpg；雨瑶人员激励参半销售数据2.xlsx；转账截图</t>
        </is>
      </c>
      <c r="I154" s="14" t="inlineStr">
        <is>
          <t>逐SKU计算数量×奖励单价，并比较结算行总额、转账总额和申报金额。</t>
        </is>
      </c>
      <c r="K154" s="20" t="inlineStr">
        <is>
          <t>部分验证</t>
        </is>
      </c>
      <c r="L154" s="14" t="inlineStr">
        <is>
          <t>判定依据：10条SKU计算及结算行总额均为7353.00元，去重转账总额为7353.00元；申报7350.00元，差额-3.00元（0.04%）。未提供独立活动预算。
能力边界/补证：30%预算规则不能在没有预算表时判定；现有结果只证明结算、销售和转账之间的勾稽关系。</t>
        </is>
      </c>
    </row>
    <row r="155" ht="108" customHeight="1">
      <c r="A155" s="14" t="inlineStr">
        <is>
          <t>6</t>
        </is>
      </c>
      <c r="B155" s="14" t="inlineStr">
        <is>
          <t>合规性审查</t>
        </is>
      </c>
      <c r="C155" s="14" t="inlineStr">
        <is>
          <t>票据信息是否完整</t>
        </is>
      </c>
      <c r="E155" s="14" t="inlineStr">
        <is>
          <t>发票代码、号码、金额、日期、购销方信息完整性</t>
        </is>
      </c>
      <c r="G155" s="14" t="inlineStr">
        <is>
          <t>本包未提交发票</t>
        </is>
      </c>
      <c r="I155" s="14" t="inlineStr">
        <is>
          <t>盘点文件类型，未把结算单或转账截图误认作发票。</t>
        </is>
      </c>
      <c r="K155" s="24" t="inlineStr">
        <is>
          <t>本案未触发</t>
        </is>
      </c>
      <c r="L155" s="14" t="inlineStr">
        <is>
          <t>判定依据：人员激励包包含销售Excel、结算单和转账截图，没有发票代码、号码、购销方等可核字段。
能力边界/补证：如公司制度规定人员激励必须附发票，应改判为证据不足并要求补交发票。</t>
        </is>
      </c>
    </row>
    <row r="156" ht="108" customHeight="1">
      <c r="A156" s="14" t="inlineStr">
        <is>
          <t>7</t>
        </is>
      </c>
      <c r="B156" s="14" t="inlineStr">
        <is>
          <t>合规性审查</t>
        </is>
      </c>
      <c r="C156" s="14" t="inlineStr">
        <is>
          <t>合同条款是否匹配</t>
        </is>
      </c>
      <c r="E156" s="14" t="inlineStr">
        <is>
          <t>合同约定金额不低于发票总额，付款周期与开票日期一致</t>
        </is>
      </c>
      <c r="G156" s="14" t="inlineStr">
        <is>
          <t>本包未提交合同；使用最终结算单及转账证明</t>
        </is>
      </c>
      <c r="I156" s="14" t="inlineStr">
        <is>
          <t>检查活动期间、SKU数量、奖励单价、结算金额和转账金额；没有把结算单等同于合同。</t>
        </is>
      </c>
      <c r="K156" s="24" t="inlineStr">
        <is>
          <t>本案未触发</t>
        </is>
      </c>
      <c r="L156" s="14" t="inlineStr">
        <is>
          <t>判定依据：可验证2026-05-01至2026-05-20的结算口径，但无合同金额、付款周期或开票日期可比。
能力边界/补证：如人员激励需要合同约束，应补充合同、付款周期及相应票据后再判断合同条款。</t>
        </is>
      </c>
    </row>
    <row r="158" ht="24" customHeight="1">
      <c r="A158" s="11" t="inlineStr">
        <is>
          <t>异常、影响与补证清单</t>
        </is>
      </c>
    </row>
    <row r="159" ht="42" customHeight="1">
      <c r="A159" s="12" t="inlineStr">
        <is>
          <t>高风险影响数量、金额或核心证据；中风险表示映射、身份、日期或真实性证据仍需说明。</t>
        </is>
      </c>
    </row>
    <row r="160" ht="30" customHeight="1">
      <c r="A160" s="13" t="inlineStr">
        <is>
          <t>序号</t>
        </is>
      </c>
      <c r="B160" s="13" t="inlineStr">
        <is>
          <t>等级</t>
        </is>
      </c>
      <c r="C160" s="13" t="inlineStr">
        <is>
          <t>异常代码</t>
        </is>
      </c>
      <c r="E160" s="13" t="inlineStr">
        <is>
          <t>发现及来源</t>
        </is>
      </c>
      <c r="I160" s="13" t="inlineStr">
        <is>
          <t>金额/结论影响</t>
        </is>
      </c>
      <c r="K160" s="13" t="inlineStr">
        <is>
          <t>补证或处理建议</t>
        </is>
      </c>
    </row>
    <row r="161" ht="108" customHeight="1">
      <c r="A161" s="20" t="n">
        <v>1</v>
      </c>
      <c r="B161" s="20" t="inlineStr">
        <is>
          <t>中</t>
        </is>
      </c>
      <c r="C161" s="20" t="inlineStr">
        <is>
          <t>NON_HIGH_CONFIDENCE_SKU_MAPPING</t>
        </is>
      </c>
      <c r="E161" s="20" t="inlineStr">
        <is>
          <t>结算单第9行SKU映射置信度为medium。
来源：settlement line 9</t>
        </is>
      </c>
      <c r="I161" s="20" t="inlineStr">
        <is>
          <t>逐项数量虽然可计算，但商品身份仍有不确定性。</t>
        </is>
      </c>
      <c r="K161" s="20" t="inlineStr">
        <is>
          <t>补充结算单条码或商品主数据映射。</t>
        </is>
      </c>
    </row>
    <row r="162" ht="108" customHeight="1">
      <c r="A162" s="20" t="n">
        <v>2</v>
      </c>
      <c r="B162" s="20" t="inlineStr">
        <is>
          <t>中</t>
        </is>
      </c>
      <c r="C162" s="20" t="inlineStr">
        <is>
          <t>NON_HIGH_CONFIDENCE_SKU_MAPPING</t>
        </is>
      </c>
      <c r="E162" s="20" t="inlineStr">
        <is>
          <t>结算单第10行SKU映射置信度为medium。
来源：settlement line 10</t>
        </is>
      </c>
      <c r="I162" s="20" t="inlineStr">
        <is>
          <t>逐项数量虽然可计算，但商品身份仍有不确定性。</t>
        </is>
      </c>
      <c r="K162" s="20" t="inlineStr">
        <is>
          <t>补充结算单条码或商品主数据映射。</t>
        </is>
      </c>
    </row>
    <row r="163" ht="108" customHeight="1">
      <c r="A163" s="20" t="n">
        <v>3</v>
      </c>
      <c r="B163" s="20" t="inlineStr">
        <is>
          <t>中</t>
        </is>
      </c>
      <c r="C163" s="20" t="inlineStr">
        <is>
          <t>CLAIM_DIFFERS_FROM_SETTLEMENT_LINES</t>
        </is>
      </c>
      <c r="E163" s="20" t="inlineStr">
        <is>
          <t>实际核销金额7350.00与结算单逐行合计7353.00相差-3.00元。</t>
        </is>
      </c>
      <c r="I163" s="20" t="inlineStr">
        <is>
          <t>需要明确人工调整、舍尾或扣减口径。</t>
        </is>
      </c>
      <c r="K163" s="20" t="inlineStr">
        <is>
          <t>提供差额说明并在审批记录中保留调整依据。</t>
        </is>
      </c>
    </row>
    <row r="164" ht="108" customHeight="1">
      <c r="A164" s="20" t="n">
        <v>4</v>
      </c>
      <c r="B164" s="20" t="inlineStr">
        <is>
          <t>中</t>
        </is>
      </c>
      <c r="C164" s="20" t="inlineStr">
        <is>
          <t>TRANSFER_STORE_IDENTITY_NOT_VISIBLE</t>
        </is>
      </c>
      <c r="E164" s="20" t="inlineStr">
        <is>
          <t>转账截图未显示可核验的门店/收款人身份，只能按金额集合勾稽。</t>
        </is>
      </c>
      <c r="I164" s="20" t="inlineStr">
        <is>
          <t>无法证明每笔款项实际支付给对应门店。</t>
        </is>
      </c>
      <c r="K164" s="20" t="inlineStr">
        <is>
          <t>补充显示收款人、门店映射和交易单号的转账详情。</t>
        </is>
      </c>
    </row>
    <row r="165" ht="108" customHeight="1">
      <c r="A165" s="20" t="n">
        <v>5</v>
      </c>
      <c r="B165" s="20" t="inlineStr">
        <is>
          <t>中</t>
        </is>
      </c>
      <c r="C165" s="20" t="inlineStr">
        <is>
          <t>TRANSFER_DATE_NOT_VISIBLE</t>
        </is>
      </c>
      <c r="E165" s="20" t="inlineStr">
        <is>
          <t>转账截图未显示完整交易日期。</t>
        </is>
      </c>
      <c r="I165" s="20" t="inlineStr">
        <is>
          <t>无法独立确认付款发生在活动结算周期内。</t>
        </is>
      </c>
      <c r="K165" s="20" t="inlineStr">
        <is>
          <t>补充带交易日期和交易单号的明细。</t>
        </is>
      </c>
    </row>
    <row r="167" ht="24" customHeight="1">
      <c r="A167" s="11" t="inlineStr">
        <is>
          <t>模型调用量与失败重试</t>
        </is>
      </c>
    </row>
    <row r="168" ht="42" customHeight="1">
      <c r="A168" s="12" t="inlineStr">
        <is>
          <t>这里只保存结构化调用次数、重试和Token统计，不保存stdout/stderr、模型事件流或其他运行日志。</t>
        </is>
      </c>
    </row>
    <row r="169" ht="30" customHeight="1">
      <c r="A169" s="13" t="inlineStr">
        <is>
          <t>模型</t>
        </is>
      </c>
      <c r="B169" s="13" t="inlineStr">
        <is>
          <t>调用次数</t>
        </is>
      </c>
      <c r="C169" s="13" t="inlineStr">
        <is>
          <t>成功次数</t>
        </is>
      </c>
      <c r="D169" s="13" t="inlineStr">
        <is>
          <t>失败次数</t>
        </is>
      </c>
      <c r="E169" s="13" t="inlineStr">
        <is>
          <t>重试次数</t>
        </is>
      </c>
      <c r="F169" s="13" t="inlineStr">
        <is>
          <t>输入Token</t>
        </is>
      </c>
      <c r="G169" s="13" t="inlineStr">
        <is>
          <t>缓存输入Token</t>
        </is>
      </c>
      <c r="H169" s="13" t="inlineStr">
        <is>
          <t>输出Token</t>
        </is>
      </c>
      <c r="I169" s="13" t="inlineStr">
        <is>
          <t>推理输出Token</t>
        </is>
      </c>
      <c r="J169" s="13" t="inlineStr">
        <is>
          <t>总Token</t>
        </is>
      </c>
    </row>
    <row r="170" ht="36" customHeight="1">
      <c r="A170" s="14" t="inlineStr">
        <is>
          <t>default</t>
        </is>
      </c>
      <c r="B170" s="15" t="n">
        <v>1</v>
      </c>
      <c r="C170" s="15" t="n">
        <v>1</v>
      </c>
      <c r="D170" s="15" t="n">
        <v>0</v>
      </c>
      <c r="E170" s="15" t="n">
        <v>0</v>
      </c>
      <c r="F170" s="15" t="n">
        <v>2294089</v>
      </c>
      <c r="G170" s="15" t="n">
        <v>2124672</v>
      </c>
      <c r="H170" s="15" t="n">
        <v>45590</v>
      </c>
      <c r="I170" s="15" t="n">
        <v>22309</v>
      </c>
      <c r="J170" s="15" t="n">
        <v>2339679</v>
      </c>
    </row>
    <row r="172" ht="30" customHeight="1">
      <c r="A172" s="13" t="inlineStr">
        <is>
          <t>尝试序号</t>
        </is>
      </c>
      <c r="B172" s="13" t="inlineStr">
        <is>
          <t>状态</t>
        </is>
      </c>
      <c r="C172" s="13" t="inlineStr">
        <is>
          <t>退出码</t>
        </is>
      </c>
      <c r="D172" s="13" t="inlineStr">
        <is>
          <t>失败原因摘要</t>
        </is>
      </c>
      <c r="E172" s="13" t="inlineStr">
        <is>
          <t>输入Token</t>
        </is>
      </c>
      <c r="F172" s="13" t="inlineStr">
        <is>
          <t>缓存输入Token</t>
        </is>
      </c>
      <c r="G172" s="13" t="inlineStr">
        <is>
          <t>输出Token</t>
        </is>
      </c>
      <c r="H172" s="13" t="inlineStr">
        <is>
          <t>推理Token</t>
        </is>
      </c>
      <c r="I172" s="13" t="inlineStr">
        <is>
          <t>总Token</t>
        </is>
      </c>
    </row>
    <row r="173" ht="36" customHeight="1">
      <c r="A173" s="14" t="n">
        <v>1</v>
      </c>
      <c r="B173" s="14" t="inlineStr">
        <is>
          <t>成功</t>
        </is>
      </c>
      <c r="C173" s="14" t="n">
        <v>0</v>
      </c>
      <c r="D173" s="14" t="n"/>
      <c r="E173" s="14" t="n">
        <v>2294089</v>
      </c>
      <c r="F173" s="14" t="n">
        <v>2124672</v>
      </c>
      <c r="G173" s="14" t="n">
        <v>45590</v>
      </c>
      <c r="H173" s="14" t="n">
        <v>22309</v>
      </c>
      <c r="I173" s="14" t="n">
        <v>2339679</v>
      </c>
    </row>
  </sheetData>
  <mergeCells count="163">
    <mergeCell ref="F16:G16"/>
    <mergeCell ref="A159:M159"/>
    <mergeCell ref="B22:C22"/>
    <mergeCell ref="K161:M161"/>
    <mergeCell ref="C162:D162"/>
    <mergeCell ref="B12:C12"/>
    <mergeCell ref="B21:C21"/>
    <mergeCell ref="E156:F156"/>
    <mergeCell ref="L12:M12"/>
    <mergeCell ref="E153:F153"/>
    <mergeCell ref="F15:G15"/>
    <mergeCell ref="D13:E13"/>
    <mergeCell ref="E155:F155"/>
    <mergeCell ref="C164:D164"/>
    <mergeCell ref="B14:C14"/>
    <mergeCell ref="K160:M160"/>
    <mergeCell ref="L14:M14"/>
    <mergeCell ref="B13:C13"/>
    <mergeCell ref="C163:D163"/>
    <mergeCell ref="D23:F23"/>
    <mergeCell ref="I155:J155"/>
    <mergeCell ref="F13:G13"/>
    <mergeCell ref="H13:I13"/>
    <mergeCell ref="J21:K21"/>
    <mergeCell ref="B24:C24"/>
    <mergeCell ref="C149:D149"/>
    <mergeCell ref="A27:M27"/>
    <mergeCell ref="H15:I15"/>
    <mergeCell ref="A18:M18"/>
    <mergeCell ref="J4:M4"/>
    <mergeCell ref="A6:C6"/>
    <mergeCell ref="H23:I23"/>
    <mergeCell ref="J23:K23"/>
    <mergeCell ref="G149:H149"/>
    <mergeCell ref="A2:M2"/>
    <mergeCell ref="I149:J149"/>
    <mergeCell ref="A42:M42"/>
    <mergeCell ref="E163:H163"/>
    <mergeCell ref="K165:M165"/>
    <mergeCell ref="B16:C16"/>
    <mergeCell ref="B25:C25"/>
    <mergeCell ref="G6:I6"/>
    <mergeCell ref="L16:M16"/>
    <mergeCell ref="A141:M141"/>
    <mergeCell ref="G151:H151"/>
    <mergeCell ref="I151:J151"/>
    <mergeCell ref="A3:C3"/>
    <mergeCell ref="I160:J160"/>
    <mergeCell ref="A28:M28"/>
    <mergeCell ref="H25:I25"/>
    <mergeCell ref="B11:C11"/>
    <mergeCell ref="D11:E11"/>
    <mergeCell ref="A167:M167"/>
    <mergeCell ref="L151:M151"/>
    <mergeCell ref="D3:F3"/>
    <mergeCell ref="G4:I4"/>
    <mergeCell ref="D25:F25"/>
    <mergeCell ref="A4:C4"/>
    <mergeCell ref="I162:J162"/>
    <mergeCell ref="H11:I11"/>
    <mergeCell ref="J11:K11"/>
    <mergeCell ref="J20:K20"/>
    <mergeCell ref="K162:M162"/>
    <mergeCell ref="J22:K22"/>
    <mergeCell ref="E154:F154"/>
    <mergeCell ref="G154:H154"/>
    <mergeCell ref="L149:M149"/>
    <mergeCell ref="H12:I12"/>
    <mergeCell ref="K164:M164"/>
    <mergeCell ref="J12:K12"/>
    <mergeCell ref="B15:C15"/>
    <mergeCell ref="D15:E15"/>
    <mergeCell ref="C165:D165"/>
    <mergeCell ref="C155:D155"/>
    <mergeCell ref="K163:M163"/>
    <mergeCell ref="H14:I14"/>
    <mergeCell ref="D21:F21"/>
    <mergeCell ref="A7:C7"/>
    <mergeCell ref="A129:M129"/>
    <mergeCell ref="C151:D151"/>
    <mergeCell ref="A8:M8"/>
    <mergeCell ref="G155:H155"/>
    <mergeCell ref="E151:F151"/>
    <mergeCell ref="C160:D160"/>
    <mergeCell ref="J3:M3"/>
    <mergeCell ref="A140:M140"/>
    <mergeCell ref="G3:I3"/>
    <mergeCell ref="D7:F7"/>
    <mergeCell ref="E150:F150"/>
    <mergeCell ref="A10:M10"/>
    <mergeCell ref="A19:M19"/>
    <mergeCell ref="H21:I21"/>
    <mergeCell ref="A117:M117"/>
    <mergeCell ref="J24:K24"/>
    <mergeCell ref="C152:D152"/>
    <mergeCell ref="E152:F152"/>
    <mergeCell ref="A9:M9"/>
    <mergeCell ref="I150:J150"/>
    <mergeCell ref="E149:F149"/>
    <mergeCell ref="E160:H160"/>
    <mergeCell ref="I165:J165"/>
    <mergeCell ref="G152:H152"/>
    <mergeCell ref="I152:J152"/>
    <mergeCell ref="L153:M153"/>
    <mergeCell ref="A1:M1"/>
    <mergeCell ref="H16:I16"/>
    <mergeCell ref="I161:J161"/>
    <mergeCell ref="J16:K16"/>
    <mergeCell ref="A168:M168"/>
    <mergeCell ref="J25:K25"/>
    <mergeCell ref="H22:I22"/>
    <mergeCell ref="D20:F20"/>
    <mergeCell ref="E161:H161"/>
    <mergeCell ref="D12:E12"/>
    <mergeCell ref="L152:M152"/>
    <mergeCell ref="G153:H153"/>
    <mergeCell ref="I153:J153"/>
    <mergeCell ref="C161:D161"/>
    <mergeCell ref="B20:C20"/>
    <mergeCell ref="D22:F22"/>
    <mergeCell ref="L155:M155"/>
    <mergeCell ref="L11:M11"/>
    <mergeCell ref="D14:E14"/>
    <mergeCell ref="F14:G14"/>
    <mergeCell ref="D6:F6"/>
    <mergeCell ref="C154:D154"/>
    <mergeCell ref="G7:I7"/>
    <mergeCell ref="F11:G11"/>
    <mergeCell ref="H20:I20"/>
    <mergeCell ref="E162:H162"/>
    <mergeCell ref="I164:J164"/>
    <mergeCell ref="J14:K14"/>
    <mergeCell ref="C156:D156"/>
    <mergeCell ref="L150:M150"/>
    <mergeCell ref="A147:M147"/>
    <mergeCell ref="I154:J154"/>
    <mergeCell ref="J13:K13"/>
    <mergeCell ref="A43:M43"/>
    <mergeCell ref="I163:J163"/>
    <mergeCell ref="L13:M13"/>
    <mergeCell ref="E164:H164"/>
    <mergeCell ref="F12:G12"/>
    <mergeCell ref="G156:H156"/>
    <mergeCell ref="I156:J156"/>
    <mergeCell ref="J15:K15"/>
    <mergeCell ref="D4:F4"/>
    <mergeCell ref="L15:M15"/>
    <mergeCell ref="B23:C23"/>
    <mergeCell ref="A130:M130"/>
    <mergeCell ref="A148:M148"/>
    <mergeCell ref="D24:F24"/>
    <mergeCell ref="E165:H165"/>
    <mergeCell ref="D16:E16"/>
    <mergeCell ref="L156:M156"/>
    <mergeCell ref="J6:M6"/>
    <mergeCell ref="C150:D150"/>
    <mergeCell ref="C153:D153"/>
    <mergeCell ref="A118:M118"/>
    <mergeCell ref="A158:M158"/>
    <mergeCell ref="H24:I24"/>
    <mergeCell ref="G150:H150"/>
    <mergeCell ref="L154:M154"/>
    <mergeCell ref="J7:M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M176"/>
  <sheetViews>
    <sheetView showGridLines="0" zoomScale="7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17" customWidth="1" min="4" max="4"/>
    <col width="36" customWidth="1" min="5" max="5"/>
    <col width="14" customWidth="1" min="6" max="6"/>
    <col width="15" customWidth="1" min="7" max="7"/>
    <col width="15" customWidth="1" min="8" max="8"/>
    <col width="18" customWidth="1" min="9" max="9"/>
    <col width="14" customWidth="1" min="10" max="10"/>
    <col width="15" customWidth="1" min="11" max="11"/>
    <col width="52" customWidth="1" min="12" max="12"/>
    <col width="52" customWidth="1" min="13" max="13"/>
  </cols>
  <sheetData>
    <row r="1" ht="28" customHeight="1">
      <c r="A1" s="1" t="inlineStr">
        <is>
          <t>堆头核销：合同、销售、逐店照片、真实性风险与最终结论</t>
        </is>
      </c>
    </row>
    <row r="2" ht="42" customHeight="1">
      <c r="A2" s="2" t="inlineStr">
        <is>
          <t>阅读顺序：合同20家及陈列规则 → 销售客户/期间 → 21张照片逐店绑定 → 日期/地点/陈列/重复五项控制 → 支持金额。</t>
        </is>
      </c>
    </row>
    <row r="3" ht="20" customHeight="1">
      <c r="A3" s="3" t="inlineStr">
        <is>
          <t>合同/申请金额（元）</t>
        </is>
      </c>
      <c r="D3" s="3" t="inlineStr">
        <is>
          <t>逐店证据支持金额（元）</t>
        </is>
      </c>
      <c r="G3" s="3" t="inlineStr">
        <is>
          <t>建议通过金额（元）</t>
        </is>
      </c>
      <c r="J3" s="3" t="inlineStr">
        <is>
          <t>暂挂金额（元）</t>
        </is>
      </c>
    </row>
    <row r="4" ht="30" customHeight="1">
      <c r="A4" s="4" t="n">
        <v>20000</v>
      </c>
      <c r="D4" s="5">
        <f>K79</f>
        <v/>
      </c>
      <c r="G4" s="5">
        <f>MIN(A4,D4)</f>
        <v/>
      </c>
      <c r="J4" s="6">
        <f>A4-G4</f>
        <v/>
      </c>
    </row>
    <row r="6" ht="20" customHeight="1">
      <c r="A6" s="3" t="inlineStr">
        <is>
          <t>合同门店</t>
        </is>
      </c>
      <c r="D6" s="3" t="inlineStr">
        <is>
          <t>逐店通过</t>
        </is>
      </c>
      <c r="G6" s="3" t="inlineStr">
        <is>
          <t>待补件门店</t>
        </is>
      </c>
      <c r="J6" s="3" t="inlineStr">
        <is>
          <t>最终结论</t>
        </is>
      </c>
    </row>
    <row r="7" ht="30" customHeight="1">
      <c r="A7" s="7" t="inlineStr">
        <is>
          <t>20家</t>
        </is>
      </c>
      <c r="D7" s="8">
        <f>COUNTIF(J59:J78,"通过")&amp;"/20"</f>
        <v/>
      </c>
      <c r="G7" s="9">
        <f>COUNTIF(J59:J78,"补证")&amp;"家"</f>
        <v/>
      </c>
      <c r="J7" s="7" t="inlineStr">
        <is>
          <t>待补件</t>
        </is>
      </c>
    </row>
    <row r="8" ht="30" customHeight="1">
      <c r="A8" s="10" t="inlineStr">
        <is>
          <t>运行ID：20260814-two-sheet-001　案件：SQ202603300076-HX202606040013-核销资料-诚成26年4月【堆头20家】　活动期：2026-04-01 至 2026-04-30　合同规则：20家店*1平米堆头或4纵陈列*1000元/家　核心原则：照片文件名只用于归组，不作为地点证明。</t>
        </is>
      </c>
    </row>
    <row r="9" ht="24" customHeight="1">
      <c r="A9" s="11" t="inlineStr">
        <is>
          <t>核销步骤总览</t>
        </is>
      </c>
    </row>
    <row r="10" ht="42" customHeight="1">
      <c r="A10" s="12" t="inlineStr">
        <is>
          <t>每家1000元只有在照片、期间、门店、陈列和重复检查全部通过时才计入支持金额。</t>
        </is>
      </c>
    </row>
    <row r="11" ht="30" customHeight="1">
      <c r="A11" s="13" t="inlineStr">
        <is>
          <t>步骤</t>
        </is>
      </c>
      <c r="B11" s="13" t="inlineStr">
        <is>
          <t>读取文件</t>
        </is>
      </c>
      <c r="D11" s="13" t="inlineStr">
        <is>
          <t>读取内容</t>
        </is>
      </c>
      <c r="F11" s="13" t="inlineStr">
        <is>
          <t>处理/计算</t>
        </is>
      </c>
      <c r="H11" s="13" t="inlineStr">
        <is>
          <t>对比对象</t>
        </is>
      </c>
      <c r="J11" s="13" t="inlineStr">
        <is>
          <t>本步结果</t>
        </is>
      </c>
      <c r="L11" s="13" t="inlineStr">
        <is>
          <t>结论/限制</t>
        </is>
      </c>
    </row>
    <row r="12" ht="66" customHeight="1">
      <c r="A12" s="14" t="n">
        <v>1</v>
      </c>
      <c r="B12" s="14" t="inlineStr">
        <is>
          <t>诚成4月堆头陈列-经销商签订促销合同.pdf</t>
        </is>
      </c>
      <c r="D12" s="14" t="inlineStr">
        <is>
          <t>客户、活动期、20家门店、陈列标准、单店费用、申报金额、印章</t>
        </is>
      </c>
      <c r="F12" s="14" t="inlineStr">
        <is>
          <t>建立合同原始门店1—20行基准</t>
        </is>
      </c>
      <c r="H12" s="14" t="inlineStr">
        <is>
          <t>合同条款 ↔ 申报/照片</t>
        </is>
      </c>
      <c r="J12" s="14" t="inlineStr">
        <is>
          <t>20家×1000元=20000元</t>
        </is>
      </c>
      <c r="L12" s="14" t="inlineStr">
        <is>
          <t>合同门店是逐店判定基准</t>
        </is>
      </c>
    </row>
    <row r="13" ht="66" customHeight="1">
      <c r="A13" s="14" t="n">
        <v>2</v>
      </c>
      <c r="B13" s="14" t="inlineStr">
        <is>
          <t>2026年4月销售明细20260509164207765.xlsx</t>
        </is>
      </c>
      <c r="D13" s="14" t="inlineStr">
        <is>
          <t>客户、期间、商品编码、条码、商品、数量、零售价、金额</t>
        </is>
      </c>
      <c r="F13" s="14" t="inlineStr">
        <is>
          <t>汇总36个SKU并判断是否有门店字段</t>
        </is>
      </c>
      <c r="H13" s="14" t="inlineStr">
        <is>
          <t>销售客户/期间 ↔ 合同</t>
        </is>
      </c>
      <c r="J13" s="14" t="inlineStr">
        <is>
          <t>数量13744、零售金额352032元</t>
        </is>
      </c>
      <c r="L13" s="14" t="inlineStr">
        <is>
          <t>仅经销商汇总，不能证明20家逐店执行</t>
        </is>
      </c>
    </row>
    <row r="14" ht="66" customHeight="1">
      <c r="A14" s="14" t="n">
        <v>3</v>
      </c>
      <c r="B14" s="14" t="inlineStr">
        <is>
          <t>现场陈列照片21张</t>
        </is>
      </c>
      <c r="D14" s="14" t="inlineStr">
        <is>
          <t>画面日期、地点水印、陈列范围、清晰度；SHA/pHash/dHash、尺寸、EXIF、GPS</t>
        </is>
      </c>
      <c r="F14" s="14" t="inlineStr">
        <is>
          <t>按合同序号绑定照片并逐张查重</t>
        </is>
      </c>
      <c r="H14" s="14" t="inlineStr">
        <is>
          <t>21张照片 ↔ 合同20家门店</t>
        </is>
      </c>
      <c r="J14" s="14" t="inlineStr">
        <is>
          <t>已绑定21张照片</t>
        </is>
      </c>
      <c r="L14" s="14" t="inlineStr">
        <is>
          <t>第10家有2张，其余每家1张</t>
        </is>
      </c>
    </row>
    <row r="15" ht="66" customHeight="1">
      <c r="A15" s="14" t="n">
        <v>4</v>
      </c>
      <c r="B15" s="14" t="inlineStr">
        <is>
          <t>合同 + 逐店照片</t>
        </is>
      </c>
      <c r="D15" s="14" t="inlineStr">
        <is>
          <t>照片存在、期间、门店地点、陈列标准、重复情况</t>
        </is>
      </c>
      <c r="F15" s="14" t="inlineStr">
        <is>
          <t>五项控制逐店判断，全部通过才支持1000元</t>
        </is>
      </c>
      <c r="H15" s="14" t="inlineStr">
        <is>
          <t>合同每家 ↔ 对应现场照片</t>
        </is>
      </c>
      <c r="J15" s="14" t="inlineStr">
        <is>
          <t>15家通过、5家补证</t>
        </is>
      </c>
      <c r="L15" s="14" t="inlineStr">
        <is>
          <t>无EXIF/GPS时保留真实性边界</t>
        </is>
      </c>
    </row>
    <row r="16" ht="66" customHeight="1">
      <c r="A16" s="14" t="n">
        <v>5</v>
      </c>
      <c r="B16" s="14" t="inlineStr">
        <is>
          <t>上述全部材料</t>
        </is>
      </c>
      <c r="D16" s="14" t="inlineStr">
        <is>
          <t>逐店结果、销售支持、1.4.1和异常补证</t>
        </is>
      </c>
      <c r="F16" s="14" t="inlineStr">
        <is>
          <t>先计算逐店支持金额，再与申报比较</t>
        </is>
      </c>
      <c r="H16" s="14" t="inlineStr">
        <is>
          <t>申报金额 ↔ 逐店证据支持金额</t>
        </is>
      </c>
      <c r="J16" s="14" t="inlineStr">
        <is>
          <t>建议通过15000元、暂挂5000元</t>
        </is>
      </c>
      <c r="L16" s="14" t="inlineStr">
        <is>
          <t>6家补证要求在本页列示</t>
        </is>
      </c>
    </row>
    <row r="18" ht="24" customHeight="1">
      <c r="A18" s="11" t="inlineStr">
        <is>
          <t>一、读取了哪些文件、读到了什么</t>
        </is>
      </c>
    </row>
    <row r="19" ht="42" customHeight="1">
      <c r="A19" s="12" t="inlineStr">
        <is>
          <t>每个原始文件单独列示来源、读取字段、读取结果和后续比对对象；SHA-256只固定收到后的文件身份。</t>
        </is>
      </c>
    </row>
    <row r="20" ht="30" customHeight="1">
      <c r="A20" s="13" t="inlineStr">
        <is>
          <t>序号</t>
        </is>
      </c>
      <c r="B20" s="13" t="inlineStr">
        <is>
          <t>来源ZIP</t>
        </is>
      </c>
      <c r="D20" s="13" t="inlineStr">
        <is>
          <t>压缩包内文件</t>
        </is>
      </c>
      <c r="G20" s="13" t="inlineStr">
        <is>
          <t>文件角色</t>
        </is>
      </c>
      <c r="H20" s="13" t="inlineStr">
        <is>
          <t>具体读取位置/字段</t>
        </is>
      </c>
      <c r="J20" s="13" t="inlineStr">
        <is>
          <t>读取结果/数据量</t>
        </is>
      </c>
      <c r="L20" s="13" t="inlineStr">
        <is>
          <t>后续比对工作</t>
        </is>
      </c>
      <c r="M20" s="13" t="inlineStr">
        <is>
          <t>大小与文件SHA-256</t>
        </is>
      </c>
    </row>
    <row r="21" outlineLevel="1" ht="78" customHeight="1">
      <c r="A21" s="14" t="n">
        <v>1</v>
      </c>
      <c r="B21" s="14" t="inlineStr">
        <is>
          <t>SQ202603300076-HX202606040013-核销资料-诚成26年4月【堆头20家】.zip</t>
        </is>
      </c>
      <c r="D21" s="14" t="inlineStr">
        <is>
          <t>（ZIP输入包本身）</t>
        </is>
      </c>
      <c r="G21" s="14" t="inlineStr">
        <is>
          <t>输入压缩包</t>
        </is>
      </c>
      <c r="H21" s="14" t="inlineStr">
        <is>
          <t>检查路径穿越、符号链接、加密、重名、文件数、大小和压缩比。</t>
        </is>
      </c>
      <c r="J21" s="14" t="inlineStr">
        <is>
          <t>安全解压23个文件，共43452756字节。</t>
        </is>
      </c>
      <c r="L21" s="14" t="inlineStr">
        <is>
          <t>固定收到的材料范围并路由到堆头Skill。</t>
        </is>
      </c>
      <c r="M21" s="14" t="inlineStr">
        <is>
          <t>43,430,687字节
21216fbbf454cc0d2c59f1a55222d9e5d5b4887cccc3282a920251165d3af97a</t>
        </is>
      </c>
    </row>
    <row r="22" outlineLevel="1" ht="78" customHeight="1">
      <c r="A22" s="14" t="n">
        <v>2</v>
      </c>
      <c r="B22" s="14" t="inlineStr">
        <is>
          <t>SQ202603300076-HX202606040013-核销资料-诚成26年4月【堆头20家】.zip</t>
        </is>
      </c>
      <c r="D22" s="14" t="inlineStr">
        <is>
          <t>核销资料-诚成26年4月【堆头20家】/2026年4月销售明细20260509164207765.xlsx</t>
        </is>
      </c>
      <c r="G22" s="14" t="inlineStr">
        <is>
          <t>销售Excel</t>
        </is>
      </c>
      <c r="H22" s="14" t="inlineStr">
        <is>
          <t>工作表Sheet1；表头第1行；读取客户、业务期间、商品编码、条码、商品、数量、零售价和合计金额，并检查外部链接公式。</t>
        </is>
      </c>
      <c r="J22" s="14" t="inlineStr">
        <is>
          <t>有效明细36行、数量13744、零售金额352032；文件为经销商汇总，不能替代20家门店逐店执行证据。</t>
        </is>
      </c>
      <c r="L22" s="14" t="inlineStr">
        <is>
          <t>与合同比较客户和期间；仅支持总体销售，不能替代逐店照片。</t>
        </is>
      </c>
      <c r="M22" s="14" t="inlineStr">
        <is>
          <t>30,213字节
0504612568924d6686a2b752f56a5ff102fe727f901fbc631d808bd7cbfc3b48</t>
        </is>
      </c>
    </row>
    <row r="23" outlineLevel="1" ht="78" customHeight="1">
      <c r="A23" s="14" t="n">
        <v>3</v>
      </c>
      <c r="B23" s="14" t="inlineStr">
        <is>
          <t>SQ202603300076-HX202606040013-核销资料-诚成26年4月【堆头20家】.zip</t>
        </is>
      </c>
      <c r="D23" s="14" t="inlineStr">
        <is>
          <t>核销资料-诚成26年4月【堆头20家】/堆头照片/1.厚街汉邦66广场家家欣.jpg</t>
        </is>
      </c>
      <c r="G23" s="14" t="inlineStr">
        <is>
          <t>现场陈列照片</t>
        </is>
      </c>
      <c r="H23" s="14" t="inlineStr">
        <is>
          <t>按原始分辨率读取画面日期、地点/门店水印、陈列范围和清晰度；同时记录SHA-256、pHash、dHash、尺寸、EXIF时间和GPS。</t>
        </is>
      </c>
      <c r="J23" s="14" t="inlineStr">
        <is>
          <t>与合同门店逐店绑定；共21张照片支持15家通过、5家补证。</t>
        </is>
      </c>
      <c r="L23" s="14" t="inlineStr">
        <is>
          <t>绑定合同原始门店序号，逐店比较期间、地点、陈列和重复情况。</t>
        </is>
      </c>
      <c r="M23" s="14" t="inlineStr">
        <is>
          <t>491,884字节
2bc5b681403c0d0e05ba6394449fd73b18e211370dbdfc3b1e3166678fb33aad</t>
        </is>
      </c>
    </row>
    <row r="24" outlineLevel="1" ht="78" customHeight="1">
      <c r="A24" s="14" t="n">
        <v>4</v>
      </c>
      <c r="B24" s="14" t="inlineStr">
        <is>
          <t>SQ202603300076-HX202606040013-核销资料-诚成26年4月【堆头20家】.zip</t>
        </is>
      </c>
      <c r="D24" s="14" t="inlineStr">
        <is>
          <t>核销资料-诚成26年4月【堆头20家】/堆头照片/10-1挺拇指生活超市(横沥店).jpg</t>
        </is>
      </c>
      <c r="G24" s="14" t="inlineStr">
        <is>
          <t>现场陈列照片</t>
        </is>
      </c>
      <c r="H24" s="14" t="inlineStr">
        <is>
          <t>按原始分辨率读取画面日期、地点/门店水印、陈列范围和清晰度；同时记录SHA-256、pHash、dHash、尺寸、EXIF时间和GPS。</t>
        </is>
      </c>
      <c r="J24" s="14" t="inlineStr">
        <is>
          <t>与合同门店逐店绑定；共21张照片支持15家通过、5家补证。</t>
        </is>
      </c>
      <c r="L24" s="14" t="inlineStr">
        <is>
          <t>绑定合同原始门店序号，逐店比较期间、地点、陈列和重复情况。</t>
        </is>
      </c>
      <c r="M24" s="14" t="inlineStr">
        <is>
          <t>767,287字节
f12dd735b31b0e3be209767b443a5dde76af047139821839e1c380befa2f17ba</t>
        </is>
      </c>
    </row>
    <row r="25" outlineLevel="1" ht="78" customHeight="1">
      <c r="A25" s="14" t="n">
        <v>5</v>
      </c>
      <c r="B25" s="14" t="inlineStr">
        <is>
          <t>SQ202603300076-HX202606040013-核销资料-诚成26年4月【堆头20家】.zip</t>
        </is>
      </c>
      <c r="D25" s="14" t="inlineStr">
        <is>
          <t>核销资料-诚成26年4月【堆头20家】/堆头照片/10-2挺拇指生活超市(横沥店).jpg</t>
        </is>
      </c>
      <c r="G25" s="14" t="inlineStr">
        <is>
          <t>现场陈列照片</t>
        </is>
      </c>
      <c r="H25" s="14" t="inlineStr">
        <is>
          <t>按原始分辨率读取画面日期、地点/门店水印、陈列范围和清晰度；同时记录SHA-256、pHash、dHash、尺寸、EXIF时间和GPS。</t>
        </is>
      </c>
      <c r="J25" s="14" t="inlineStr">
        <is>
          <t>与合同门店逐店绑定；共21张照片支持15家通过、5家补证。</t>
        </is>
      </c>
      <c r="L25" s="14" t="inlineStr">
        <is>
          <t>绑定合同原始门店序号，逐店比较期间、地点、陈列和重复情况。</t>
        </is>
      </c>
      <c r="M25" s="14" t="inlineStr">
        <is>
          <t>872,772字节
1d4f8b92c71131ea2dbe09e06cff7496a82afca0ba4d7fced7ab272948670884</t>
        </is>
      </c>
    </row>
    <row r="26" outlineLevel="1" ht="78" customHeight="1">
      <c r="A26" s="14" t="n">
        <v>6</v>
      </c>
      <c r="B26" s="14" t="inlineStr">
        <is>
          <t>SQ202603300076-HX202606040013-核销资料-诚成26年4月【堆头20家】.zip</t>
        </is>
      </c>
      <c r="D26" s="14" t="inlineStr">
        <is>
          <t>核销资料-诚成26年4月【堆头20家】/堆头照片/11.人人购物荟和超市.jpg</t>
        </is>
      </c>
      <c r="G26" s="14" t="inlineStr">
        <is>
          <t>现场陈列照片</t>
        </is>
      </c>
      <c r="H26" s="14" t="inlineStr">
        <is>
          <t>按原始分辨率读取画面日期、地点/门店水印、陈列范围和清晰度；同时记录SHA-256、pHash、dHash、尺寸、EXIF时间和GPS。</t>
        </is>
      </c>
      <c r="J26" s="14" t="inlineStr">
        <is>
          <t>与合同门店逐店绑定；共21张照片支持15家通过、5家补证。</t>
        </is>
      </c>
      <c r="L26" s="14" t="inlineStr">
        <is>
          <t>绑定合同原始门店序号，逐店比较期间、地点、陈列和重复情况。</t>
        </is>
      </c>
      <c r="M26" s="14" t="inlineStr">
        <is>
          <t>3,431,541字节
7cf34a44ba05a348179771b0c36be20c19f6a0a76fb0c72fc6742c1070011f87</t>
        </is>
      </c>
    </row>
    <row r="27" outlineLevel="1" ht="78" customHeight="1">
      <c r="A27" s="14" t="n">
        <v>7</v>
      </c>
      <c r="B27" s="14" t="inlineStr">
        <is>
          <t>SQ202603300076-HX202606040013-核销资料-诚成26年4月【堆头20家】.zip</t>
        </is>
      </c>
      <c r="D27" s="14" t="inlineStr">
        <is>
          <t>核销资料-诚成26年4月【堆头20家】/堆头照片/12.三乐购物广场(森扬商业广场店).jpg</t>
        </is>
      </c>
      <c r="G27" s="14" t="inlineStr">
        <is>
          <t>现场陈列照片</t>
        </is>
      </c>
      <c r="H27" s="14" t="inlineStr">
        <is>
          <t>按原始分辨率读取画面日期、地点/门店水印、陈列范围和清晰度；同时记录SHA-256、pHash、dHash、尺寸、EXIF时间和GPS。</t>
        </is>
      </c>
      <c r="J27" s="14" t="inlineStr">
        <is>
          <t>与合同门店逐店绑定；共21张照片支持15家通过、5家补证。</t>
        </is>
      </c>
      <c r="L27" s="14" t="inlineStr">
        <is>
          <t>绑定合同原始门店序号，逐店比较期间、地点、陈列和重复情况。</t>
        </is>
      </c>
      <c r="M27" s="14" t="inlineStr">
        <is>
          <t>2,609,173字节
817e1b01120475a5f72ab39bce2334a3f0c5d2d7c66d02b0d02e648e70bca0e9</t>
        </is>
      </c>
    </row>
    <row r="28" outlineLevel="1" ht="78" customHeight="1">
      <c r="A28" s="14" t="n">
        <v>8</v>
      </c>
      <c r="B28" s="14" t="inlineStr">
        <is>
          <t>SQ202603300076-HX202606040013-核销资料-诚成26年4月【堆头20家】.zip</t>
        </is>
      </c>
      <c r="D28" s="14" t="inlineStr">
        <is>
          <t>核销资料-诚成26年4月【堆头20家】/堆头照片/13.沙井九龙.jpg</t>
        </is>
      </c>
      <c r="G28" s="14" t="inlineStr">
        <is>
          <t>现场陈列照片</t>
        </is>
      </c>
      <c r="H28" s="14" t="inlineStr">
        <is>
          <t>按原始分辨率读取画面日期、地点/门店水印、陈列范围和清晰度；同时记录SHA-256、pHash、dHash、尺寸、EXIF时间和GPS。</t>
        </is>
      </c>
      <c r="J28" s="14" t="inlineStr">
        <is>
          <t>与合同门店逐店绑定；共21张照片支持15家通过、5家补证。</t>
        </is>
      </c>
      <c r="L28" s="14" t="inlineStr">
        <is>
          <t>绑定合同原始门店序号，逐店比较期间、地点、陈列和重复情况。</t>
        </is>
      </c>
      <c r="M28" s="14" t="inlineStr">
        <is>
          <t>2,762,473字节
bea6157436ef7f0a45babca793b9fc67e06ac2beacd1b9eae36c44097b0e3888</t>
        </is>
      </c>
    </row>
    <row r="29" outlineLevel="1" ht="78" customHeight="1">
      <c r="A29" s="14" t="n">
        <v>9</v>
      </c>
      <c r="B29" s="14" t="inlineStr">
        <is>
          <t>SQ202603300076-HX202606040013-核销资料-诚成26年4月【堆头20家】.zip</t>
        </is>
      </c>
      <c r="D29" s="14" t="inlineStr">
        <is>
          <t>核销资料-诚成26年4月【堆头20家】/堆头照片/14.润家连锁超市(美联购物中心店).jpg</t>
        </is>
      </c>
      <c r="G29" s="14" t="inlineStr">
        <is>
          <t>现场陈列照片</t>
        </is>
      </c>
      <c r="H29" s="14" t="inlineStr">
        <is>
          <t>按原始分辨率读取画面日期、地点/门店水印、陈列范围和清晰度；同时记录SHA-256、pHash、dHash、尺寸、EXIF时间和GPS。</t>
        </is>
      </c>
      <c r="J29" s="14" t="inlineStr">
        <is>
          <t>与合同门店逐店绑定；共21张照片支持15家通过、5家补证。</t>
        </is>
      </c>
      <c r="L29" s="14" t="inlineStr">
        <is>
          <t>绑定合同原始门店序号，逐店比较期间、地点、陈列和重复情况。</t>
        </is>
      </c>
      <c r="M29" s="14" t="inlineStr">
        <is>
          <t>501,429字节
0589b66788746499b68c9813b97ef042c2d1a239cd70be63056d57f4a9587fe5</t>
        </is>
      </c>
    </row>
    <row r="30" outlineLevel="1" ht="78" customHeight="1">
      <c r="A30" s="14" t="n">
        <v>10</v>
      </c>
      <c r="B30" s="14" t="inlineStr">
        <is>
          <t>SQ202603300076-HX202606040013-核销资料-诚成26年4月【堆头20家】.zip</t>
        </is>
      </c>
      <c r="D30" s="14" t="inlineStr">
        <is>
          <t>核销资料-诚成26年4月【堆头20家】/堆头照片/15。石岩百佳华.jpg</t>
        </is>
      </c>
      <c r="G30" s="14" t="inlineStr">
        <is>
          <t>现场陈列照片</t>
        </is>
      </c>
      <c r="H30" s="14" t="inlineStr">
        <is>
          <t>按原始分辨率读取画面日期、地点/门店水印、陈列范围和清晰度；同时记录SHA-256、pHash、dHash、尺寸、EXIF时间和GPS。</t>
        </is>
      </c>
      <c r="J30" s="14" t="inlineStr">
        <is>
          <t>与合同门店逐店绑定；共21张照片支持15家通过、5家补证。</t>
        </is>
      </c>
      <c r="L30" s="14" t="inlineStr">
        <is>
          <t>绑定合同原始门店序号，逐店比较期间、地点、陈列和重复情况。</t>
        </is>
      </c>
      <c r="M30" s="14" t="inlineStr">
        <is>
          <t>501,947字节
9845f5c8c808e139ae93bf4a163372cf5e54e7aeb39a8dfbfa1d0aa47e5dfca8</t>
        </is>
      </c>
    </row>
    <row r="31" outlineLevel="1" ht="78" customHeight="1">
      <c r="A31" s="14" t="n">
        <v>11</v>
      </c>
      <c r="B31" s="14" t="inlineStr">
        <is>
          <t>SQ202603300076-HX202606040013-核销资料-诚成26年4月【堆头20家】.zip</t>
        </is>
      </c>
      <c r="D31" s="14" t="inlineStr">
        <is>
          <t>核销资料-诚成26年4月【堆头20家】/堆头照片/16.田心金正和.jpg</t>
        </is>
      </c>
      <c r="G31" s="14" t="inlineStr">
        <is>
          <t>现场陈列照片</t>
        </is>
      </c>
      <c r="H31" s="14" t="inlineStr">
        <is>
          <t>按原始分辨率读取画面日期、地点/门店水印、陈列范围和清晰度；同时记录SHA-256、pHash、dHash、尺寸、EXIF时间和GPS。</t>
        </is>
      </c>
      <c r="J31" s="14" t="inlineStr">
        <is>
          <t>与合同门店逐店绑定；共21张照片支持15家通过、5家补证。</t>
        </is>
      </c>
      <c r="L31" s="14" t="inlineStr">
        <is>
          <t>绑定合同原始门店序号，逐店比较期间、地点、陈列和重复情况。</t>
        </is>
      </c>
      <c r="M31" s="14" t="inlineStr">
        <is>
          <t>762,202字节
f00f97dc46a52568db5b292f7edb26bedfbc0d6f786e746acea6a56940a7c500</t>
        </is>
      </c>
    </row>
    <row r="32" outlineLevel="1" ht="78" customHeight="1">
      <c r="A32" s="14" t="n">
        <v>12</v>
      </c>
      <c r="B32" s="14" t="inlineStr">
        <is>
          <t>SQ202603300076-HX202606040013-核销资料-诚成26年4月【堆头20家】.zip</t>
        </is>
      </c>
      <c r="D32" s="14" t="inlineStr">
        <is>
          <t>核销资料-诚成26年4月【堆头20家】/堆头照片/17·荟和超市(莹展荟店).jpg</t>
        </is>
      </c>
      <c r="G32" s="14" t="inlineStr">
        <is>
          <t>现场陈列照片</t>
        </is>
      </c>
      <c r="H32" s="14" t="inlineStr">
        <is>
          <t>按原始分辨率读取画面日期、地点/门店水印、陈列范围和清晰度；同时记录SHA-256、pHash、dHash、尺寸、EXIF时间和GPS。</t>
        </is>
      </c>
      <c r="J32" s="14" t="inlineStr">
        <is>
          <t>与合同门店逐店绑定；共21张照片支持15家通过、5家补证。</t>
        </is>
      </c>
      <c r="L32" s="14" t="inlineStr">
        <is>
          <t>绑定合同原始门店序号，逐店比较期间、地点、陈列和重复情况。</t>
        </is>
      </c>
      <c r="M32" s="14" t="inlineStr">
        <is>
          <t>420,260字节
c6a9ac8b3b620adf996334ec432e725c45b4e302c481354caa4959a97c6f1ef1</t>
        </is>
      </c>
    </row>
    <row r="33" outlineLevel="1" ht="78" customHeight="1">
      <c r="A33" s="14" t="n">
        <v>13</v>
      </c>
      <c r="B33" s="14" t="inlineStr">
        <is>
          <t>SQ202603300076-HX202606040013-核销资料-诚成26年4月【堆头20家】.zip</t>
        </is>
      </c>
      <c r="D33" s="14" t="inlineStr">
        <is>
          <t>核销资料-诚成26年4月【堆头20家】/堆头照片/18.三乐购物广场(坦洲店).jpg</t>
        </is>
      </c>
      <c r="G33" s="14" t="inlineStr">
        <is>
          <t>现场陈列照片</t>
        </is>
      </c>
      <c r="H33" s="14" t="inlineStr">
        <is>
          <t>按原始分辨率读取画面日期、地点/门店水印、陈列范围和清晰度；同时记录SHA-256、pHash、dHash、尺寸、EXIF时间和GPS。</t>
        </is>
      </c>
      <c r="J33" s="14" t="inlineStr">
        <is>
          <t>与合同门店逐店绑定；共21张照片支持15家通过、5家补证。</t>
        </is>
      </c>
      <c r="L33" s="14" t="inlineStr">
        <is>
          <t>绑定合同原始门店序号，逐店比较期间、地点、陈列和重复情况。</t>
        </is>
      </c>
      <c r="M33" s="14" t="inlineStr">
        <is>
          <t>511,770字节
61f0c8113bfbfafd9cc02a2ae69881cb8cc456e911c32c78ba618ab3467153fe</t>
        </is>
      </c>
    </row>
    <row r="34" outlineLevel="1" ht="78" customHeight="1">
      <c r="A34" s="14" t="n">
        <v>14</v>
      </c>
      <c r="B34" s="14" t="inlineStr">
        <is>
          <t>SQ202603300076-HX202606040013-核销资料-诚成26年4月【堆头20家】.zip</t>
        </is>
      </c>
      <c r="D34" s="14" t="inlineStr">
        <is>
          <t>核销资料-诚成26年4月【堆头20家】/堆头照片/19.福源大康惠.jpg</t>
        </is>
      </c>
      <c r="G34" s="14" t="inlineStr">
        <is>
          <t>现场陈列照片</t>
        </is>
      </c>
      <c r="H34" s="14" t="inlineStr">
        <is>
          <t>按原始分辨率读取画面日期、地点/门店水印、陈列范围和清晰度；同时记录SHA-256、pHash、dHash、尺寸、EXIF时间和GPS。</t>
        </is>
      </c>
      <c r="J34" s="14" t="inlineStr">
        <is>
          <t>与合同门店逐店绑定；共21张照片支持15家通过、5家补证。</t>
        </is>
      </c>
      <c r="L34" s="14" t="inlineStr">
        <is>
          <t>绑定合同原始门店序号，逐店比较期间、地点、陈列和重复情况。</t>
        </is>
      </c>
      <c r="M34" s="14" t="inlineStr">
        <is>
          <t>760,801字节
a83b7852588f47ff9fc8c43791eab025aa930eb7efa97d4da13cd54024be754c</t>
        </is>
      </c>
    </row>
    <row r="35" outlineLevel="1" ht="78" customHeight="1">
      <c r="A35" s="14" t="n">
        <v>15</v>
      </c>
      <c r="B35" s="14" t="inlineStr">
        <is>
          <t>SQ202603300076-HX202606040013-核销资料-诚成26年4月【堆头20家】.zip</t>
        </is>
      </c>
      <c r="D35" s="14" t="inlineStr">
        <is>
          <t>核销资料-诚成26年4月【堆头20家】/堆头照片/2.松岗百佳华.jpg</t>
        </is>
      </c>
      <c r="G35" s="14" t="inlineStr">
        <is>
          <t>现场陈列照片</t>
        </is>
      </c>
      <c r="H35" s="14" t="inlineStr">
        <is>
          <t>按原始分辨率读取画面日期、地点/门店水印、陈列范围和清晰度；同时记录SHA-256、pHash、dHash、尺寸、EXIF时间和GPS。</t>
        </is>
      </c>
      <c r="J35" s="14" t="inlineStr">
        <is>
          <t>与合同门店逐店绑定；共21张照片支持15家通过、5家补证。</t>
        </is>
      </c>
      <c r="L35" s="14" t="inlineStr">
        <is>
          <t>绑定合同原始门店序号，逐店比较期间、地点、陈列和重复情况。</t>
        </is>
      </c>
      <c r="M35" s="14" t="inlineStr">
        <is>
          <t>2,775,745字节
12b86e89b2996c4ee22ce55cfa65249237f10c2651963f0a74d6748f6fbdf29f</t>
        </is>
      </c>
    </row>
    <row r="36" outlineLevel="1" ht="78" customHeight="1">
      <c r="A36" s="14" t="n">
        <v>16</v>
      </c>
      <c r="B36" s="14" t="inlineStr">
        <is>
          <t>SQ202603300076-HX202606040013-核销资料-诚成26年4月【堆头20家】.zip</t>
        </is>
      </c>
      <c r="D36" s="14" t="inlineStr">
        <is>
          <t>核销资料-诚成26年4月【堆头20家】/堆头照片/20.好多宝精选超市(龙眼市场店).jpg</t>
        </is>
      </c>
      <c r="G36" s="14" t="inlineStr">
        <is>
          <t>现场陈列照片</t>
        </is>
      </c>
      <c r="H36" s="14" t="inlineStr">
        <is>
          <t>按原始分辨率读取画面日期、地点/门店水印、陈列范围和清晰度；同时记录SHA-256、pHash、dHash、尺寸、EXIF时间和GPS。</t>
        </is>
      </c>
      <c r="J36" s="14" t="inlineStr">
        <is>
          <t>与合同门店逐店绑定；共21张照片支持15家通过、5家补证。</t>
        </is>
      </c>
      <c r="L36" s="14" t="inlineStr">
        <is>
          <t>绑定合同原始门店序号，逐店比较期间、地点、陈列和重复情况。</t>
        </is>
      </c>
      <c r="M36" s="14" t="inlineStr">
        <is>
          <t>380,438字节
a2bc6e9f7833a6b2dace149843649c6c2a6b5988e04def5a9bc64d4b2b8740fc</t>
        </is>
      </c>
    </row>
    <row r="37" outlineLevel="1" ht="78" customHeight="1">
      <c r="A37" s="14" t="n">
        <v>17</v>
      </c>
      <c r="B37" s="14" t="inlineStr">
        <is>
          <t>SQ202603300076-HX202606040013-核销资料-诚成26年4月【堆头20家】.zip</t>
        </is>
      </c>
      <c r="D37" s="14" t="inlineStr">
        <is>
          <t>核销资料-诚成26年4月【堆头20家】/堆头照片/3.公明百佳华.jpg</t>
        </is>
      </c>
      <c r="G37" s="14" t="inlineStr">
        <is>
          <t>现场陈列照片</t>
        </is>
      </c>
      <c r="H37" s="14" t="inlineStr">
        <is>
          <t>按原始分辨率读取画面日期、地点/门店水印、陈列范围和清晰度；同时记录SHA-256、pHash、dHash、尺寸、EXIF时间和GPS。</t>
        </is>
      </c>
      <c r="J37" s="14" t="inlineStr">
        <is>
          <t>与合同门店逐店绑定；共21张照片支持15家通过、5家补证。</t>
        </is>
      </c>
      <c r="L37" s="14" t="inlineStr">
        <is>
          <t>绑定合同原始门店序号，逐店比较期间、地点、陈列和重复情况。</t>
        </is>
      </c>
      <c r="M37" s="14" t="inlineStr">
        <is>
          <t>676,711字节
334f7fe95b8f70a59cf89c0e2b65a47ba1a19c70d8b1695a51ecd59bdce07463</t>
        </is>
      </c>
    </row>
    <row r="38" outlineLevel="1" ht="78" customHeight="1">
      <c r="A38" s="14" t="n">
        <v>18</v>
      </c>
      <c r="B38" s="14" t="inlineStr">
        <is>
          <t>SQ202603300076-HX202606040013-核销资料-诚成26年4月【堆头20家】.zip</t>
        </is>
      </c>
      <c r="D38" s="14" t="inlineStr">
        <is>
          <t>核销资料-诚成26年4月【堆头20家】/堆头照片/4.新桥百佳华.jpg</t>
        </is>
      </c>
      <c r="G38" s="14" t="inlineStr">
        <is>
          <t>现场陈列照片</t>
        </is>
      </c>
      <c r="H38" s="14" t="inlineStr">
        <is>
          <t>按原始分辨率读取画面日期、地点/门店水印、陈列范围和清晰度；同时记录SHA-256、pHash、dHash、尺寸、EXIF时间和GPS。</t>
        </is>
      </c>
      <c r="J38" s="14" t="inlineStr">
        <is>
          <t>与合同门店逐店绑定；共21张照片支持15家通过、5家补证。</t>
        </is>
      </c>
      <c r="L38" s="14" t="inlineStr">
        <is>
          <t>绑定合同原始门店序号，逐店比较期间、地点、陈列和重复情况。</t>
        </is>
      </c>
      <c r="M38" s="14" t="inlineStr">
        <is>
          <t>123,308字节
df7c36d02303fc3b8df13e63888d0dcfed56860ca91d2a86501f67168d32c3ff</t>
        </is>
      </c>
    </row>
    <row r="39" outlineLevel="1" ht="78" customHeight="1">
      <c r="A39" s="14" t="n">
        <v>19</v>
      </c>
      <c r="B39" s="14" t="inlineStr">
        <is>
          <t>SQ202603300076-HX202606040013-核销资料-诚成26年4月【堆头20家】.zip</t>
        </is>
      </c>
      <c r="D39" s="14" t="inlineStr">
        <is>
          <t>核销资料-诚成26年4月【堆头20家】/堆头照片/5.华都超市(东坑大道北店).jpg</t>
        </is>
      </c>
      <c r="G39" s="14" t="inlineStr">
        <is>
          <t>现场陈列照片</t>
        </is>
      </c>
      <c r="H39" s="14" t="inlineStr">
        <is>
          <t>按原始分辨率读取画面日期、地点/门店水印、陈列范围和清晰度；同时记录SHA-256、pHash、dHash、尺寸、EXIF时间和GPS。</t>
        </is>
      </c>
      <c r="J39" s="14" t="inlineStr">
        <is>
          <t>与合同门店逐店绑定；共21张照片支持15家通过、5家补证。</t>
        </is>
      </c>
      <c r="L39" s="14" t="inlineStr">
        <is>
          <t>绑定合同原始门店序号，逐店比较期间、地点、陈列和重复情况。</t>
        </is>
      </c>
      <c r="M39" s="14" t="inlineStr">
        <is>
          <t>439,863字节
61e7f18669fe68e0686638d9bf53e6e488e8ce9ccb78192cdb6647915337dad0</t>
        </is>
      </c>
    </row>
    <row r="40" outlineLevel="1" ht="78" customHeight="1">
      <c r="A40" s="14" t="n">
        <v>20</v>
      </c>
      <c r="B40" s="14" t="inlineStr">
        <is>
          <t>SQ202603300076-HX202606040013-核销资料-诚成26年4月【堆头20家】.zip</t>
        </is>
      </c>
      <c r="D40" s="14" t="inlineStr">
        <is>
          <t>核销资料-诚成26年4月【堆头20家】/堆头照片/6.东浦金正和.jpg</t>
        </is>
      </c>
      <c r="G40" s="14" t="inlineStr">
        <is>
          <t>现场陈列照片</t>
        </is>
      </c>
      <c r="H40" s="14" t="inlineStr">
        <is>
          <t>按原始分辨率读取画面日期、地点/门店水印、陈列范围和清晰度；同时记录SHA-256、pHash、dHash、尺寸、EXIF时间和GPS。</t>
        </is>
      </c>
      <c r="J40" s="14" t="inlineStr">
        <is>
          <t>与合同门店逐店绑定；共21张照片支持15家通过、5家补证。</t>
        </is>
      </c>
      <c r="L40" s="14" t="inlineStr">
        <is>
          <t>绑定合同原始门店序号，逐店比较期间、地点、陈列和重复情况。</t>
        </is>
      </c>
      <c r="M40" s="14" t="inlineStr">
        <is>
          <t>1,084,548字节
5443f87d47fe6646e5da357f0e53a41c8934f58255619fe749eae9b7ad9596a0</t>
        </is>
      </c>
    </row>
    <row r="41" outlineLevel="1" ht="78" customHeight="1">
      <c r="A41" s="14" t="n">
        <v>21</v>
      </c>
      <c r="B41" s="14" t="inlineStr">
        <is>
          <t>SQ202603300076-HX202606040013-核销资料-诚成26年4月【堆头20家】.zip</t>
        </is>
      </c>
      <c r="D41" s="14" t="inlineStr">
        <is>
          <t>核销资料-诚成26年4月【堆头20家】/堆头照片/7.宝安优城店.jpg</t>
        </is>
      </c>
      <c r="G41" s="14" t="inlineStr">
        <is>
          <t>现场陈列照片</t>
        </is>
      </c>
      <c r="H41" s="14" t="inlineStr">
        <is>
          <t>按原始分辨率读取画面日期、地点/门店水印、陈列范围和清晰度；同时记录SHA-256、pHash、dHash、尺寸、EXIF时间和GPS。</t>
        </is>
      </c>
      <c r="J41" s="14" t="inlineStr">
        <is>
          <t>与合同门店逐店绑定；共21张照片支持15家通过、5家补证。</t>
        </is>
      </c>
      <c r="L41" s="14" t="inlineStr">
        <is>
          <t>绑定合同原始门店序号，逐店比较期间、地点、陈列和重复情况。</t>
        </is>
      </c>
      <c r="M41" s="14" t="inlineStr">
        <is>
          <t>434,133字节
80ff9c92a5eb1b780e9b0002a5d99c5239d71f592406992133c1e49e77e5834f</t>
        </is>
      </c>
    </row>
    <row r="42" outlineLevel="1" ht="78" customHeight="1">
      <c r="A42" s="14" t="n">
        <v>22</v>
      </c>
      <c r="B42" s="14" t="inlineStr">
        <is>
          <t>SQ202603300076-HX202606040013-核销资料-诚成26年4月【堆头20家】.zip</t>
        </is>
      </c>
      <c r="D42" s="14" t="inlineStr">
        <is>
          <t>核销资料-诚成26年4月【堆头20家】/堆头照片/8.虎门赤岗家家欣.jpg</t>
        </is>
      </c>
      <c r="G42" s="14" t="inlineStr">
        <is>
          <t>现场陈列照片</t>
        </is>
      </c>
      <c r="H42" s="14" t="inlineStr">
        <is>
          <t>按原始分辨率读取画面日期、地点/门店水印、陈列范围和清晰度；同时记录SHA-256、pHash、dHash、尺寸、EXIF时间和GPS。</t>
        </is>
      </c>
      <c r="J42" s="14" t="inlineStr">
        <is>
          <t>与合同门店逐店绑定；共21张照片支持15家通过、5家补证。</t>
        </is>
      </c>
      <c r="L42" s="14" t="inlineStr">
        <is>
          <t>绑定合同原始门店序号，逐店比较期间、地点、陈列和重复情况。</t>
        </is>
      </c>
      <c r="M42" s="14" t="inlineStr">
        <is>
          <t>129,411字节
a397af48c29cc108f54a66ac21d7aec414e79f20838ee3bb2e4851619d1f9e0a</t>
        </is>
      </c>
    </row>
    <row r="43" outlineLevel="1" ht="78" customHeight="1">
      <c r="A43" s="14" t="n">
        <v>23</v>
      </c>
      <c r="B43" s="14" t="inlineStr">
        <is>
          <t>SQ202603300076-HX202606040013-核销资料-诚成26年4月【堆头20家】.zip</t>
        </is>
      </c>
      <c r="D43" s="14" t="inlineStr">
        <is>
          <t>核销资料-诚成26年4月【堆头20家】/堆头照片/9.花都宜多.jpg</t>
        </is>
      </c>
      <c r="G43" s="14" t="inlineStr">
        <is>
          <t>现场陈列照片</t>
        </is>
      </c>
      <c r="H43" s="14" t="inlineStr">
        <is>
          <t>按原始分辨率读取画面日期、地点/门店水印、陈列范围和清晰度；同时记录SHA-256、pHash、dHash、尺寸、EXIF时间和GPS。</t>
        </is>
      </c>
      <c r="J43" s="14" t="inlineStr">
        <is>
          <t>与合同门店逐店绑定；共21张照片支持15家通过、5家补证。</t>
        </is>
      </c>
      <c r="L43" s="14" t="inlineStr">
        <is>
          <t>绑定合同原始门店序号，逐店比较期间、地点、陈列和重复情况。</t>
        </is>
      </c>
      <c r="M43" s="14" t="inlineStr">
        <is>
          <t>830,839字节
37a3bb4647855bff6147f370f02897142fb739c3b1f015546c9701327ca79c87</t>
        </is>
      </c>
    </row>
    <row r="44" outlineLevel="1" ht="78" customHeight="1">
      <c r="A44" s="14" t="n">
        <v>24</v>
      </c>
      <c r="B44" s="14" t="inlineStr">
        <is>
          <t>SQ202603300076-HX202606040013-核销资料-诚成26年4月【堆头20家】.zip</t>
        </is>
      </c>
      <c r="D44" s="14" t="inlineStr">
        <is>
          <t>核销资料-诚成26年4月【堆头20家】/诚成4月堆头陈列-经销商签订促销合同.pdf</t>
        </is>
      </c>
      <c r="G44" s="14" t="inlineStr">
        <is>
          <t>促销合同</t>
        </is>
      </c>
      <c r="H44" s="14" t="inlineStr">
        <is>
          <t>逐页读取客户、活动起止日、陈列标准、单店费用、申报金额、盖章及完整编号门店清单。</t>
        </is>
      </c>
      <c r="J44" s="14" t="inlineStr">
        <is>
          <t>合同4页、20家门店、单店1000元；作为逐店照片核验基准。</t>
        </is>
      </c>
      <c r="L44" s="14" t="inlineStr">
        <is>
          <t>与销售Excel比较客户/期间；与照片逐店比较日期、地点和陈列；与申报比较金额。</t>
        </is>
      </c>
      <c r="M44" s="14" t="inlineStr">
        <is>
          <t>22,154,008字节
15ac05c881cda510b1d24743a2ae7ef7e19e5e78946b4407e6e57200cbb6a75a</t>
        </is>
      </c>
    </row>
    <row r="46" ht="24" customHeight="1">
      <c r="A46" s="11" t="inlineStr">
        <is>
          <t>二、合同、销售Excel与申报基础对比</t>
        </is>
      </c>
    </row>
    <row r="47" ht="42" customHeight="1">
      <c r="A47" s="12" t="inlineStr">
        <is>
          <t>销售Excel只验证客户、活动期间和总体销售；因为没有门店字段，不能直接支持任何单店1000元。</t>
        </is>
      </c>
    </row>
    <row r="48" ht="30" customHeight="1">
      <c r="A48" s="13" t="inlineStr">
        <is>
          <t>检查项</t>
        </is>
      </c>
      <c r="B48" s="13" t="inlineStr">
        <is>
          <t>合同PDF读取值</t>
        </is>
      </c>
      <c r="D48" s="13" t="inlineStr">
        <is>
          <t>销售Excel/申报读取值</t>
        </is>
      </c>
      <c r="F48" s="13" t="inlineStr">
        <is>
          <t>对比规则</t>
        </is>
      </c>
      <c r="H48" s="13" t="inlineStr">
        <is>
          <t>差异/覆盖</t>
        </is>
      </c>
      <c r="J48" s="13" t="inlineStr">
        <is>
          <t>结果</t>
        </is>
      </c>
      <c r="K48" s="13" t="inlineStr">
        <is>
          <t>限制</t>
        </is>
      </c>
    </row>
    <row r="49" ht="54" customHeight="1">
      <c r="A49" s="14" t="inlineStr">
        <is>
          <t>客户</t>
        </is>
      </c>
      <c r="B49" s="17" t="inlineStr">
        <is>
          <t>东莞市诚成行供应链管理有限公司</t>
        </is>
      </c>
      <c r="D49" s="17" t="inlineStr">
        <is>
          <t>东莞市诚成行供应链管理有限公司</t>
        </is>
      </c>
      <c r="F49" s="14" t="inlineStr">
        <is>
          <t>名称一致性</t>
        </is>
      </c>
      <c r="H49" s="17" t="inlineStr">
        <is>
          <t>一致</t>
        </is>
      </c>
      <c r="J49" s="19" t="inlineStr">
        <is>
          <t>匹配</t>
        </is>
      </c>
      <c r="K49" s="14" t="inlineStr">
        <is>
          <t>仅证明经销商层级销售</t>
        </is>
      </c>
    </row>
    <row r="50" ht="54" customHeight="1">
      <c r="A50" s="14" t="inlineStr">
        <is>
          <t>活动期间</t>
        </is>
      </c>
      <c r="B50" s="17" t="inlineStr">
        <is>
          <t>2026-04-01 至 2026-04-30</t>
        </is>
      </c>
      <c r="D50" s="17" t="inlineStr">
        <is>
          <t>2026-04-01 至 2026-04-30</t>
        </is>
      </c>
      <c r="F50" s="14" t="inlineStr">
        <is>
          <t>销售期间应在合同活动期内</t>
        </is>
      </c>
      <c r="H50" s="17" t="inlineStr">
        <is>
          <t>完整覆盖4月</t>
        </is>
      </c>
      <c r="J50" s="19" t="inlineStr">
        <is>
          <t>匹配</t>
        </is>
      </c>
      <c r="K50" s="14" t="inlineStr">
        <is>
          <t>不代表逐店均在期间内完成陈列</t>
        </is>
      </c>
    </row>
    <row r="51" ht="54" customHeight="1">
      <c r="A51" s="14" t="inlineStr">
        <is>
          <t>数据粒度</t>
        </is>
      </c>
      <c r="B51" s="17" t="inlineStr">
        <is>
          <t>合同门店20家</t>
        </is>
      </c>
      <c r="D51" s="17" t="inlineStr">
        <is>
          <t>销售Excel无门店字段</t>
        </is>
      </c>
      <c r="F51" s="14" t="inlineStr">
        <is>
          <t>门店级执行需要门店级证据</t>
        </is>
      </c>
      <c r="H51" s="17" t="inlineStr">
        <is>
          <t>0家可由销售Excel单独证明</t>
        </is>
      </c>
      <c r="J51" s="20" t="inlineStr">
        <is>
          <t>证据不足</t>
        </is>
      </c>
      <c r="K51" s="14" t="inlineStr">
        <is>
          <t>逐店必须回到照片核验</t>
        </is>
      </c>
    </row>
    <row r="52" ht="54" customHeight="1">
      <c r="A52" s="14" t="inlineStr">
        <is>
          <t>陈列规则</t>
        </is>
      </c>
      <c r="B52" s="17" t="inlineStr">
        <is>
          <t>20家店*1平米堆头或4纵陈列*1000元/家</t>
        </is>
      </c>
      <c r="D52" s="17" t="inlineStr">
        <is>
          <t>现场照片21张</t>
        </is>
      </c>
      <c r="F52" s="14" t="inlineStr">
        <is>
          <t>逐店判断1平方米堆头或至少4纵陈列</t>
        </is>
      </c>
      <c r="H52" s="17" t="inlineStr">
        <is>
          <t>15家综合通过</t>
        </is>
      </c>
      <c r="J52" s="20" t="inlineStr">
        <is>
          <t>部分通过</t>
        </is>
      </c>
      <c r="K52" s="14" t="inlineStr">
        <is>
          <t>照片未提供尺量数据</t>
        </is>
      </c>
    </row>
    <row r="53" ht="54" customHeight="1">
      <c r="A53" s="14" t="inlineStr">
        <is>
          <t>费用金额</t>
        </is>
      </c>
      <c r="B53" s="17" t="n">
        <v>20000</v>
      </c>
      <c r="D53" s="17" t="n">
        <v>20000</v>
      </c>
      <c r="F53" s="14" t="inlineStr">
        <is>
          <t>合同门店数×单店费用 ↔ 申报</t>
        </is>
      </c>
      <c r="H53" s="18">
        <f>D53-B53</f>
        <v/>
      </c>
      <c r="J53" s="25">
        <f>IF(H53=0,"匹配","异常")</f>
        <v/>
      </c>
      <c r="K53" s="14" t="inlineStr">
        <is>
          <t>独立活动预算表未提交</t>
        </is>
      </c>
    </row>
    <row r="54" ht="54" customHeight="1">
      <c r="A54" s="14" t="inlineStr">
        <is>
          <t>总体销售</t>
        </is>
      </c>
      <c r="B54" s="17" t="inlineStr">
        <is>
          <t>合同无SKU销售目标</t>
        </is>
      </c>
      <c r="D54" s="17" t="n">
        <v>13744</v>
      </c>
      <c r="F54" s="14" t="inlineStr">
        <is>
          <t>作为活动期总体销售背景</t>
        </is>
      </c>
      <c r="H54" s="17" t="n">
        <v>352032</v>
      </c>
      <c r="J54" s="14" t="inlineStr">
        <is>
          <t>总体支持</t>
        </is>
      </c>
      <c r="K54" s="14" t="inlineStr">
        <is>
          <t>不能分摊给20家门店</t>
        </is>
      </c>
    </row>
    <row r="56" ht="24" customHeight="1">
      <c r="A56" s="11" t="inlineStr">
        <is>
          <t>三、合同20家门店与21张照片逐店比对</t>
        </is>
      </c>
    </row>
    <row r="57" ht="42" customHeight="1">
      <c r="A57" s="12" t="inlineStr">
        <is>
          <t>五项控制：有照片、日期在活动期、可见地点与合同门店一致、达到陈列标准、未发现重复；全部通过才支持单店费用。</t>
        </is>
      </c>
    </row>
    <row r="58" ht="30" customHeight="1">
      <c r="A58" s="13" t="inlineStr">
        <is>
          <t>合同序号</t>
        </is>
      </c>
      <c r="B58" s="13" t="inlineStr">
        <is>
          <t>合同门店</t>
        </is>
      </c>
      <c r="C58" s="13" t="inlineStr">
        <is>
          <t>照片文件</t>
        </is>
      </c>
      <c r="D58" s="13" t="inlineStr">
        <is>
          <t>可见日期</t>
        </is>
      </c>
      <c r="E58" s="13" t="inlineStr">
        <is>
          <t>可见地点/水印</t>
        </is>
      </c>
      <c r="F58" s="13" t="inlineStr">
        <is>
          <t>期间</t>
        </is>
      </c>
      <c r="G58" s="13" t="inlineStr">
        <is>
          <t>门店匹配</t>
        </is>
      </c>
      <c r="H58" s="13" t="inlineStr">
        <is>
          <t>陈列标准</t>
        </is>
      </c>
      <c r="I58" s="13" t="inlineStr">
        <is>
          <t>重复检查</t>
        </is>
      </c>
      <c r="J58" s="13" t="inlineStr">
        <is>
          <t>结论</t>
        </is>
      </c>
      <c r="K58" s="13" t="inlineStr">
        <is>
          <t>支持金额</t>
        </is>
      </c>
      <c r="L58" s="13" t="inlineStr">
        <is>
          <t>风险/判断依据</t>
        </is>
      </c>
      <c r="M58" s="13" t="inlineStr">
        <is>
          <t>补证建议</t>
        </is>
      </c>
    </row>
    <row r="59" ht="108" customHeight="1">
      <c r="A59" s="14" t="n">
        <v>1</v>
      </c>
      <c r="B59" s="14" t="inlineStr">
        <is>
          <t>66广场家家欣</t>
        </is>
      </c>
      <c r="C59" s="14" t="inlineStr">
        <is>
          <t>1.厚街汉邦66广场家家欣.jpg</t>
        </is>
      </c>
      <c r="D59" s="14" t="inlineStr">
        <is>
          <t>2026-04-30</t>
        </is>
      </c>
      <c r="E59" s="14" t="inlineStr">
        <is>
          <t>广东省东莞市厚街镇汉邦广场</t>
        </is>
      </c>
      <c r="F59" s="14" t="inlineStr">
        <is>
          <t>是</t>
        </is>
      </c>
      <c r="G59" s="14" t="inlineStr">
        <is>
          <t>弱（仅文件名）</t>
        </is>
      </c>
      <c r="H59" s="14" t="inlineStr">
        <is>
          <t>是</t>
        </is>
      </c>
      <c r="I59" s="14" t="inlineStr">
        <is>
          <t>未发现</t>
        </is>
      </c>
      <c r="J59" s="20" t="inlineStr">
        <is>
          <t>补证</t>
        </is>
      </c>
      <c r="K59" s="18">
        <f>IF(J59="通过",1000,0)</f>
        <v/>
      </c>
      <c r="L59" s="14" t="inlineStr">
        <is>
          <t>陈列观察：可见完整多层岛柜/端架及大量参半产品，画面支持1平方米堆头或4纵陈列的替代标准。；文件指纹 1.厚街汉邦66广场家家欣.jpg：1279×1706 JPEG；SHA-256 2bc5b681403c0d0e05ba6394449fd73b18e211370dbdfc3b1e3166678fb33aad；64位pHash bc40623f5dbacec0；64位dHash 579da53634371ff4；在21张提交照片中的相同SHA-256出现次数=1。；图像元数据限制：EXIF标签数为0；无嵌入式EXIF日期、GPS、设备或相机信息。采用的日期和地点均为像素内可见水印，未得到独立认证。；合同门店身份仅由文件名提供；可见地点未出现“家家欣”或“66广场”。</t>
        </is>
      </c>
      <c r="M59" s="14" t="inlineStr">
        <is>
          <t>补充活动期内可见“66广场家家欣”门店身份的照片，或提供汉邦广场与合同门店之间的权威地址/更名映射。</t>
        </is>
      </c>
    </row>
    <row r="60" ht="108" customHeight="1">
      <c r="A60" s="14" t="n">
        <v>2</v>
      </c>
      <c r="B60" s="14" t="inlineStr">
        <is>
          <t>百佳华松岗店</t>
        </is>
      </c>
      <c r="C60" s="14" t="inlineStr">
        <is>
          <t>2.松岗百佳华.jpg</t>
        </is>
      </c>
      <c r="D60" s="14" t="inlineStr">
        <is>
          <t>2026-04-30</t>
        </is>
      </c>
      <c r="E60" s="14" t="inlineStr">
        <is>
          <t>深圳市·百佳华超市(松岗百佳华商场店)</t>
        </is>
      </c>
      <c r="F60" s="14" t="inlineStr">
        <is>
          <t>是</t>
        </is>
      </c>
      <c r="G60" s="14" t="inlineStr">
        <is>
          <t>是</t>
        </is>
      </c>
      <c r="H60" s="14" t="inlineStr">
        <is>
          <t>是</t>
        </is>
      </c>
      <c r="I60" s="14" t="inlineStr">
        <is>
          <t>未发现</t>
        </is>
      </c>
      <c r="J60" s="19" t="inlineStr">
        <is>
          <t>通过</t>
        </is>
      </c>
      <c r="K60" s="18">
        <f>IF(J60="通过",1000,0)</f>
        <v/>
      </c>
      <c r="L60" s="14" t="inlineStr">
        <is>
          <t>陈列观察：可见宽幅多层参半陈列，至少具备4个纵向层级/排面。；文件指纹 2.松岗百佳华.jpg：3024×3759 JPEG；SHA-256 12b86e89b2996c4ee22ce55cfa65249237f10c2651963f0a74d6748f6fbdf29f；64位pHash d45ed0c3d0cf9847；64位dHash 98342424a034c098；在21张提交照片中的相同SHA-256出现次数=1。；图像元数据限制：EXIF标签数为0；无嵌入式EXIF日期、GPS、设备或相机信息。采用的日期和地点均为像素内可见水印，未得到独立认证。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60" s="14" t="inlineStr"/>
    </row>
    <row r="61" ht="108" customHeight="1">
      <c r="A61" s="14" t="n">
        <v>3</v>
      </c>
      <c r="B61" s="14" t="inlineStr">
        <is>
          <t>百佳华百货（公明店）</t>
        </is>
      </c>
      <c r="C61" s="14" t="inlineStr">
        <is>
          <t>3.公明百佳华.jpg</t>
        </is>
      </c>
      <c r="D61" s="14" t="inlineStr">
        <is>
          <t>2026-04-30</t>
        </is>
      </c>
      <c r="E61" s="14" t="inlineStr">
        <is>
          <t>深圳市·百佳华佳漾邻(公明店)</t>
        </is>
      </c>
      <c r="F61" s="14" t="inlineStr">
        <is>
          <t>是</t>
        </is>
      </c>
      <c r="G61" s="14" t="inlineStr">
        <is>
          <t>基本匹配</t>
        </is>
      </c>
      <c r="H61" s="14" t="inlineStr">
        <is>
          <t>是</t>
        </is>
      </c>
      <c r="I61" s="14" t="inlineStr">
        <is>
          <t>未发现</t>
        </is>
      </c>
      <c r="J61" s="19" t="inlineStr">
        <is>
          <t>通过</t>
        </is>
      </c>
      <c r="K61" s="18">
        <f>IF(J61="通过",1000,0)</f>
        <v/>
      </c>
      <c r="L61" s="14" t="inlineStr">
        <is>
          <t>陈列观察：完整端架可见，参半礼盒呈四个纵向货架层级。；文件指纹 3.公明百佳华.jpg：1279×1706 JPEG；SHA-256 334f7fe95b8f70a59cf89c0e2b65a47ba1a19c70d8b1695a51ecd59bdce07463；64位pHash d909f0b5cd483c73；64位dHash 929393f35a2e0194；在21张提交照片中的相同SHA-256出现次数=1。；图像元数据限制：EXIF标签数为0；无嵌入式EXIF日期、GPS、设备或相机信息。采用的日期和地点均为像素内可见水印，未得到独立认证。；未提供百佳华百货与百佳华佳漾邻名称变体的映射材料。</t>
        </is>
      </c>
      <c r="M61" s="14" t="inlineStr">
        <is>
          <t>如政策要求精确店名证明，请补充分店名称或更名映射。</t>
        </is>
      </c>
    </row>
    <row r="62" ht="108" customHeight="1">
      <c r="A62" s="14" t="n">
        <v>4</v>
      </c>
      <c r="B62" s="14" t="inlineStr">
        <is>
          <t>百佳华佳漾汇(新桥店)</t>
        </is>
      </c>
      <c r="C62" s="14" t="inlineStr">
        <is>
          <t>4.新桥百佳华.jpg</t>
        </is>
      </c>
      <c r="D62" s="14" t="inlineStr">
        <is>
          <t>2026-04-30</t>
        </is>
      </c>
      <c r="E62" s="14" t="inlineStr">
        <is>
          <t>深圳市宝安区新桥街道·百佳华佳漾汇(新桥店)</t>
        </is>
      </c>
      <c r="F62" s="14" t="inlineStr">
        <is>
          <t>是</t>
        </is>
      </c>
      <c r="G62" s="14" t="inlineStr">
        <is>
          <t>是</t>
        </is>
      </c>
      <c r="H62" s="14" t="inlineStr">
        <is>
          <t>是</t>
        </is>
      </c>
      <c r="I62" s="14" t="inlineStr">
        <is>
          <t>未发现</t>
        </is>
      </c>
      <c r="J62" s="19" t="inlineStr">
        <is>
          <t>通过</t>
        </is>
      </c>
      <c r="K62" s="18">
        <f>IF(J62="通过",1000,0)</f>
        <v/>
      </c>
      <c r="L62" s="14" t="inlineStr">
        <is>
          <t>陈列观察：完整窄型端架可见，参半产品超过四个纵向陈列层级。；文件指纹 4.新桥百佳华.jpg：600×800 JPEG；SHA-256 df7c36d02303fc3b8df13e63888d0dcfed56860ca91d2a86501f67168d32c3ff；64位pHash d21e05732f4ee5c4；64位dHash 7cb8b479199d84c6；在21张提交照片中的相同SHA-256出现次数=1。；图像元数据限制：EXIF标签数为0；无嵌入式EXIF日期、GPS、设备或相机信息。采用的日期和地点均为像素内可见水印，未得到独立认证。；600×800为本批次最低分辨率之一，细节复核能力受限。</t>
        </is>
      </c>
      <c r="M62" s="14" t="inlineStr"/>
    </row>
    <row r="63" ht="108" customHeight="1">
      <c r="A63" s="14" t="n">
        <v>5</v>
      </c>
      <c r="B63" s="14" t="inlineStr">
        <is>
          <t>华都超市(东坑大道北店)</t>
        </is>
      </c>
      <c r="C63" s="14" t="inlineStr">
        <is>
          <t>5.华都超市(东坑大道北店).jpg</t>
        </is>
      </c>
      <c r="D63" s="14" t="inlineStr">
        <is>
          <t>2026-04-02</t>
        </is>
      </c>
      <c r="E63" s="14" t="inlineStr">
        <is>
          <t>东莞市·华都超市(东坑大道北店)</t>
        </is>
      </c>
      <c r="F63" s="14" t="inlineStr">
        <is>
          <t>是</t>
        </is>
      </c>
      <c r="G63" s="14" t="inlineStr">
        <is>
          <t>是</t>
        </is>
      </c>
      <c r="H63" s="14" t="inlineStr">
        <is>
          <t>是</t>
        </is>
      </c>
      <c r="I63" s="14" t="inlineStr">
        <is>
          <t>未发现</t>
        </is>
      </c>
      <c r="J63" s="19" t="inlineStr">
        <is>
          <t>通过</t>
        </is>
      </c>
      <c r="K63" s="18">
        <f>IF(J63="通过",1000,0)</f>
        <v/>
      </c>
      <c r="L63" s="14" t="inlineStr">
        <is>
          <t>陈列观察：可见完整多层独立陈列架，参半产品占主要位置。；文件指纹 5.华都超市(东坑大道北店).jpg：1081×1440 JPEG；SHA-256 61e7f18669fe68e0686638d9bf53e6e488e8ce9ccb78192cdb6647915337dad0；64位pHash bb17807f857c84c9；64位dHash 484a6a6c512b2b9b；在21张提交照片中的相同SHA-256出现次数=1。；图像元数据限制：EXIF标签数为0；无嵌入式EXIF日期、GPS、设备或相机信息。采用的日期和地点均为像素内可见水印，未得到独立认证。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63" s="14" t="inlineStr"/>
    </row>
    <row r="64" ht="108" customHeight="1">
      <c r="A64" s="14" t="n">
        <v>6</v>
      </c>
      <c r="B64" s="14" t="inlineStr">
        <is>
          <t>金大福(东浦金正和总店)</t>
        </is>
      </c>
      <c r="C64" s="14" t="inlineStr">
        <is>
          <t>6.东浦金正和.jpg</t>
        </is>
      </c>
      <c r="D64" s="14" t="n"/>
      <c r="E64" s="14" t="n"/>
      <c r="F64" s="14" t="inlineStr">
        <is>
          <t>无法判断</t>
        </is>
      </c>
      <c r="G64" s="14" t="inlineStr">
        <is>
          <t>弱（仅文件名）</t>
        </is>
      </c>
      <c r="H64" s="14" t="inlineStr">
        <is>
          <t>无法判断</t>
        </is>
      </c>
      <c r="I64" s="14" t="inlineStr">
        <is>
          <t>未发现</t>
        </is>
      </c>
      <c r="J64" s="20" t="inlineStr">
        <is>
          <t>补证</t>
        </is>
      </c>
      <c r="K64" s="18">
        <f>IF(J64="通过",1000,0)</f>
        <v/>
      </c>
      <c r="L64" s="14" t="inlineStr">
        <is>
          <t>陈列观察：小型促销台上仅清楚显示横向3盒、纵向2层参半礼盒；无法确认1平方米占地或4个纵向层级/排面。；文件指纹 6.东浦金正和.jpg：1080×1920 JPEG；SHA-256 5443f87d47fe6646e5da357f0e53a41c8934f58255619fe749eae9b7ad9596a0；64位pHash dfc1434a3552174f；64位dHash e1f1f03c35693133；在21张提交照片中的相同SHA-256出现次数=1。；图像元数据限制：EXIF标签数为0；无嵌入式EXIF日期、GPS、设备或相机信息。；活动日期和合同门店身份无法由照片验证。；合同要求的陈列标准未完整显示。</t>
        </is>
      </c>
      <c r="M64" s="14" t="inlineStr">
        <is>
          <t>补充带有可见日期及门店/地点身份的活动期原图。；补充能够完整展示1平方米堆头或至少4个纵向陈列层级/排面的广角照片。</t>
        </is>
      </c>
    </row>
    <row r="65" ht="108" customHeight="1">
      <c r="A65" s="14" t="n">
        <v>7</v>
      </c>
      <c r="B65" s="14" t="inlineStr">
        <is>
          <t>古原千禧(U·ONE 优城店)</t>
        </is>
      </c>
      <c r="C65" s="14" t="inlineStr">
        <is>
          <t>7.宝安优城店.jpg</t>
        </is>
      </c>
      <c r="D65" s="14" t="inlineStr">
        <is>
          <t>2026-04-03</t>
        </is>
      </c>
      <c r="E65" s="14" t="inlineStr">
        <is>
          <t>深圳市·古原千禧(优城店)</t>
        </is>
      </c>
      <c r="F65" s="14" t="inlineStr">
        <is>
          <t>是</t>
        </is>
      </c>
      <c r="G65" s="14" t="inlineStr">
        <is>
          <t>是</t>
        </is>
      </c>
      <c r="H65" s="14" t="inlineStr">
        <is>
          <t>是</t>
        </is>
      </c>
      <c r="I65" s="14" t="inlineStr">
        <is>
          <t>未发现</t>
        </is>
      </c>
      <c r="J65" s="19" t="inlineStr">
        <is>
          <t>通过</t>
        </is>
      </c>
      <c r="K65" s="18">
        <f>IF(J65="通过",1000,0)</f>
        <v/>
      </c>
      <c r="L65" s="14" t="inlineStr">
        <is>
          <t>陈列观察：完整多层岛柜/端架及大量参半产品可见。；文件指纹 7.宝安优城店.jpg：1081×1440 JPEG；SHA-256 80ff9c92a5eb1b780e9b0002a5d99c5239d71f592406992133c1e49e77e5834f；64位pHash d04ea67a36654e71；64位dHash 68a8e08498819e9c；在21张提交照片中的相同SHA-256出现次数=1。；图像元数据限制：EXIF标签数为0；无嵌入式EXIF日期、GPS、设备或相机信息。采用的日期和地点均为像素内可见水印，未得到独立认证。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65" s="14" t="inlineStr"/>
    </row>
    <row r="66" ht="108" customHeight="1">
      <c r="A66" s="14" t="n">
        <v>8</v>
      </c>
      <c r="B66" s="14" t="inlineStr">
        <is>
          <t>虎门家家欣</t>
        </is>
      </c>
      <c r="C66" s="14" t="inlineStr">
        <is>
          <t>8.虎门赤岗家家欣.jpg</t>
        </is>
      </c>
      <c r="D66" s="14" t="inlineStr">
        <is>
          <t>2026-04-30</t>
        </is>
      </c>
      <c r="E66" s="14" t="inlineStr">
        <is>
          <t>东莞市·赤岗家家欣商场</t>
        </is>
      </c>
      <c r="F66" s="14" t="inlineStr">
        <is>
          <t>是</t>
        </is>
      </c>
      <c r="G66" s="14" t="inlineStr">
        <is>
          <t>基本匹配</t>
        </is>
      </c>
      <c r="H66" s="14" t="inlineStr">
        <is>
          <t>是</t>
        </is>
      </c>
      <c r="I66" s="14" t="inlineStr">
        <is>
          <t>未发现</t>
        </is>
      </c>
      <c r="J66" s="19" t="inlineStr">
        <is>
          <t>通过</t>
        </is>
      </c>
      <c r="K66" s="18">
        <f>IF(J66="通过",1000,0)</f>
        <v/>
      </c>
      <c r="L66" s="14" t="inlineStr">
        <is>
          <t>陈列观察：完整端架显示五个纵向参半礼盒层级。；文件指纹 8.虎门赤岗家家欣.jpg：600×800 JPEG；SHA-256 a397af48c29cc108f54a66ac21d7aec414e79f20838ee3bb2e4851619d1f9e0a；64位pHash 8d45457f6421a5bd；64位dHash d2f0c6ba371b3ba3；在21张提交照片中的相同SHA-256出现次数=1。；图像元数据限制：EXIF标签数为0；无嵌入式EXIF日期、GPS、设备或相机信息。采用的日期和地点均为像素内可见水印，未得到独立认证。；未提供赤岗家家欣商场与合同第8行虎门家家欣的地址映射。；600×800图像限制细节复核，但水印和陈列仍可辨识。</t>
        </is>
      </c>
      <c r="M66" s="14" t="inlineStr">
        <is>
          <t>补充赤岗家家欣商场与合同虎门家家欣之间的地址/分店映射。</t>
        </is>
      </c>
    </row>
    <row r="67" ht="108" customHeight="1">
      <c r="A67" s="14" t="n">
        <v>9</v>
      </c>
      <c r="B67" s="14" t="inlineStr">
        <is>
          <t>花都宜多</t>
        </is>
      </c>
      <c r="C67" s="14" t="inlineStr">
        <is>
          <t>9.花都宜多.jpg</t>
        </is>
      </c>
      <c r="D67" s="14" t="inlineStr">
        <is>
          <t>2026-04-30</t>
        </is>
      </c>
      <c r="E67" s="14" t="inlineStr">
        <is>
          <t>广东省广州市花都区炭步镇·炭步宜多百货</t>
        </is>
      </c>
      <c r="F67" s="14" t="inlineStr">
        <is>
          <t>是</t>
        </is>
      </c>
      <c r="G67" s="14" t="inlineStr">
        <is>
          <t>基本匹配</t>
        </is>
      </c>
      <c r="H67" s="14" t="inlineStr">
        <is>
          <t>是</t>
        </is>
      </c>
      <c r="I67" s="14" t="inlineStr">
        <is>
          <t>未发现</t>
        </is>
      </c>
      <c r="J67" s="19" t="inlineStr">
        <is>
          <t>通过</t>
        </is>
      </c>
      <c r="K67" s="18">
        <f>IF(J67="通过",1000,0)</f>
        <v/>
      </c>
      <c r="L67" s="14" t="inlineStr">
        <is>
          <t>陈列观察：可见大型混合品牌岛柜，参半产品占据多个层级和排面。；文件指纹 9.花都宜多.jpg：1279×1706 JPEG；SHA-256 37a3bb4647855bff6147f370f02897142fb739c3b1f015546c9701327ca79c87；64位pHash c413a95f3c3c3173；64位dHash 54c0c8a420623397；在21张提交照片中的相同SHA-256出现次数=1。；图像元数据限制：EXIF标签数为0；无嵌入式EXIF日期、GPS、设备或相机信息。采用的日期和地点均为像素内可见水印，未得到独立认证。；未提供炭步宜多百货与合同第9行花都宜多的分店名称映射。</t>
        </is>
      </c>
      <c r="M67" s="14" t="inlineStr">
        <is>
          <t>如政策要求精确店名证明，请补充分店名称/地址映射。</t>
        </is>
      </c>
    </row>
    <row r="68" ht="108" customHeight="1">
      <c r="A68" s="14" t="n">
        <v>10</v>
      </c>
      <c r="B68" s="14" t="inlineStr">
        <is>
          <t>挺拇指生活超市(横沥店)</t>
        </is>
      </c>
      <c r="C68" s="14" t="inlineStr">
        <is>
          <t>10-1挺拇指生活超市(横沥店).jpg、10-2挺拇指生活超市(横沥店).jpg</t>
        </is>
      </c>
      <c r="D68" s="14" t="inlineStr">
        <is>
          <t>2026-04-30</t>
        </is>
      </c>
      <c r="E68" s="14" t="inlineStr">
        <is>
          <t>东莞市·南铭购物乐园</t>
        </is>
      </c>
      <c r="F68" s="14" t="inlineStr">
        <is>
          <t>是</t>
        </is>
      </c>
      <c r="G68" s="14" t="inlineStr">
        <is>
          <t>不一致</t>
        </is>
      </c>
      <c r="H68" s="14" t="inlineStr">
        <is>
          <t>是</t>
        </is>
      </c>
      <c r="I68" s="14" t="inlineStr">
        <is>
          <t>未发现</t>
        </is>
      </c>
      <c r="J68" s="20" t="inlineStr">
        <is>
          <t>补证</t>
        </is>
      </c>
      <c r="K68" s="18">
        <f>IF(J68="通过",1000,0)</f>
        <v/>
      </c>
      <c r="L68" s="14" t="inlineStr">
        <is>
          <t>陈列观察：两个视角显示参半产品分布在多个货架层级，其中至少可见四个纵向层级。；文件指纹 10-1挺拇指生活超市(横沥店).jpg：1279×1706 JPEG；SHA-256 f12dd735b31b0e3be209767b443a5dde76af047139821839e1c380befa2f17ba；64位pHash db04a4716159b5bd；64位dHash 966d724108181909；在21张提交照片中的相同SHA-256出现次数=1。；文件指纹 10-2挺拇指生活超市(横沥店).jpg：1279×1706 JPEG；SHA-256 1d4f8b92c71131ea2dbe09e06cff7496a82afca0ba4d7fced7ab272948670884；64位pHash 8ad1fd2b6b28f604；64位dHash 53d09cd555656b2a；在21张提交照片中的相同SHA-256出现次数=1。；图像元数据限制：两张照片EXIF标签数均为0；无嵌入式EXIF日期、GPS、设备或相机信息。采用的日期和地点均为像素内可见水印，未得到独立认证。；可见门店/地点与合同门店名称冲突。</t>
        </is>
      </c>
      <c r="M68" s="14" t="inlineStr">
        <is>
          <t>提供南铭购物乐园与挺拇指生活超市(横沥店)之间的权威更名/地址映射，或替换为活动期内可见合同门店身份的照片。</t>
        </is>
      </c>
    </row>
    <row r="69" ht="108" customHeight="1">
      <c r="A69" s="14" t="n">
        <v>11</v>
      </c>
      <c r="B69" s="14" t="inlineStr">
        <is>
          <t>人人购物广场荟和二店</t>
        </is>
      </c>
      <c r="C69" s="14" t="inlineStr">
        <is>
          <t>11.人人购物荟和超市.jpg</t>
        </is>
      </c>
      <c r="D69" s="14" t="inlineStr">
        <is>
          <t>2026-04-30</t>
        </is>
      </c>
      <c r="E69" s="14" t="inlineStr">
        <is>
          <t>深圳市·荟和超市(人人购物同乐店)</t>
        </is>
      </c>
      <c r="F69" s="14" t="inlineStr">
        <is>
          <t>是</t>
        </is>
      </c>
      <c r="G69" s="14" t="inlineStr">
        <is>
          <t>基本匹配</t>
        </is>
      </c>
      <c r="H69" s="14" t="inlineStr">
        <is>
          <t>是</t>
        </is>
      </c>
      <c r="I69" s="14" t="inlineStr">
        <is>
          <t>未发现</t>
        </is>
      </c>
      <c r="J69" s="19" t="inlineStr">
        <is>
          <t>通过</t>
        </is>
      </c>
      <c r="K69" s="18">
        <f>IF(J69="通过",1000,0)</f>
        <v/>
      </c>
      <c r="L69" s="14" t="inlineStr">
        <is>
          <t>陈列观察：可见完整大型多层参半堆叠陈列。；文件指纹 11.人人购物荟和超市.jpg：4525×4496 JPEG；SHA-256 7cf34a44ba05a348179771b0c36be20c19f6a0a76fb0c72fc6742c1070011f87；64位pHash df42b870745ec23c；64位dHash 49e9d1d496663236；在21张提交照片中的相同SHA-256出现次数=1。；图像元数据限制：EXIF标签数为0；无嵌入式EXIF日期、GPS、设备或相机信息。采用的日期和地点均为像素内可见水印，未得到独立认证。；未提供材料证明人人购物同乐店即合同中的人人购物广场荟和二店。</t>
        </is>
      </c>
      <c r="M69" s="14" t="inlineStr">
        <is>
          <t>补充“同乐店”与“二店”的分店/更名映射。</t>
        </is>
      </c>
    </row>
    <row r="70" ht="108" customHeight="1">
      <c r="A70" s="14" t="n">
        <v>12</v>
      </c>
      <c r="B70" s="14" t="inlineStr">
        <is>
          <t>三乐购物广场(森扬商业广场店)</t>
        </is>
      </c>
      <c r="C70" s="14" t="inlineStr">
        <is>
          <t>12.三乐购物广场(森扬商业广场店).jpg</t>
        </is>
      </c>
      <c r="D70" s="14" t="inlineStr">
        <is>
          <t>2026-04-30</t>
        </is>
      </c>
      <c r="E70" s="14" t="inlineStr">
        <is>
          <t>东莞市·三乐购物广场(森扬商业广场店)</t>
        </is>
      </c>
      <c r="F70" s="14" t="inlineStr">
        <is>
          <t>是</t>
        </is>
      </c>
      <c r="G70" s="14" t="inlineStr">
        <is>
          <t>是</t>
        </is>
      </c>
      <c r="H70" s="14" t="inlineStr">
        <is>
          <t>是</t>
        </is>
      </c>
      <c r="I70" s="14" t="inlineStr">
        <is>
          <t>未发现</t>
        </is>
      </c>
      <c r="J70" s="19" t="inlineStr">
        <is>
          <t>通过</t>
        </is>
      </c>
      <c r="K70" s="18">
        <f>IF(J70="通过",1000,0)</f>
        <v/>
      </c>
      <c r="L70" s="14" t="inlineStr">
        <is>
          <t>陈列观察：完整正面视图显示大型参半堆叠及四个以上层级。；文件指纹 12.三乐购物广场(森扬商业广场店).jpg：3028×4032 JPEG；SHA-256 817e1b01120475a5f72ab39bce2334a3f0c5d2d7c66d02b0d02e648e70bca0e9；64位pHash 874b6c27e560735c；64位dHash c361f1c656ddb2b6；在21张提交照片中的相同SHA-256出现次数=1。；图像元数据限制：EXIF标签数为0；无嵌入式EXIF日期、GPS、设备或相机信息。采用的日期和地点均为像素内可见水印，未得到独立认证。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70" s="14" t="inlineStr"/>
    </row>
    <row r="71" ht="108" customHeight="1">
      <c r="A71" s="14" t="n">
        <v>13</v>
      </c>
      <c r="B71" s="14" t="inlineStr">
        <is>
          <t>沙井九龙</t>
        </is>
      </c>
      <c r="C71" s="14" t="inlineStr">
        <is>
          <t>13.沙井九龙.jpg</t>
        </is>
      </c>
      <c r="D71" s="14" t="inlineStr">
        <is>
          <t>2026-04-29</t>
        </is>
      </c>
      <c r="E71" s="14" t="inlineStr">
        <is>
          <t>深圳市·九龙购物中心(宝安沙井店)</t>
        </is>
      </c>
      <c r="F71" s="14" t="inlineStr">
        <is>
          <t>是</t>
        </is>
      </c>
      <c r="G71" s="14" t="inlineStr">
        <is>
          <t>是</t>
        </is>
      </c>
      <c r="H71" s="14" t="inlineStr">
        <is>
          <t>是</t>
        </is>
      </c>
      <c r="I71" s="14" t="inlineStr">
        <is>
          <t>未发现</t>
        </is>
      </c>
      <c r="J71" s="19" t="inlineStr">
        <is>
          <t>通过</t>
        </is>
      </c>
      <c r="K71" s="18">
        <f>IF(J71="通过",1000,0)</f>
        <v/>
      </c>
      <c r="L71" s="14" t="inlineStr">
        <is>
          <t>陈列观察：广角照片显示大型岛柜，参半产品跨多个层级及排面。；文件指纹 13.沙井九龙.jpg：4000×3003 JPEG；SHA-256 bea6157436ef7f0a45babca793b9fc67e06ac2beacd1b9eae36c44097b0e3888；64位pHash 8ef4e07ec22cd664；64位dHash a4a4e071616973d0；在21张提交照片中的相同SHA-256出现次数=1。；图像元数据限制：EXIF标签数为0；无嵌入式EXIF日期、GPS、设备或相机信息。采用的日期和地点均为像素内可见水印，未得到独立认证。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71" s="14" t="inlineStr"/>
    </row>
    <row r="72" ht="108" customHeight="1">
      <c r="A72" s="14" t="n">
        <v>14</v>
      </c>
      <c r="B72" s="14" t="inlineStr">
        <is>
          <t>润家连锁超市(美联购物中心店)</t>
        </is>
      </c>
      <c r="C72" s="14" t="inlineStr">
        <is>
          <t>14.润家连锁超市(美联购物中心店).jpg</t>
        </is>
      </c>
      <c r="D72" s="14" t="inlineStr">
        <is>
          <t>2026-04-30</t>
        </is>
      </c>
      <c r="E72" s="14" t="inlineStr">
        <is>
          <t>深圳市宝安区·深圳紫云快捷宾馆</t>
        </is>
      </c>
      <c r="F72" s="14" t="inlineStr">
        <is>
          <t>是</t>
        </is>
      </c>
      <c r="G72" s="14" t="inlineStr">
        <is>
          <t>不一致</t>
        </is>
      </c>
      <c r="H72" s="14" t="inlineStr">
        <is>
          <t>是</t>
        </is>
      </c>
      <c r="I72" s="14" t="inlineStr">
        <is>
          <t>未发现</t>
        </is>
      </c>
      <c r="J72" s="20" t="inlineStr">
        <is>
          <t>补证</t>
        </is>
      </c>
      <c r="K72" s="18">
        <f>IF(J72="通过",1000,0)</f>
        <v/>
      </c>
      <c r="L72" s="14" t="inlineStr">
        <is>
          <t>陈列观察：照片清楚显示参半产品跨至少四个货架层级。；文件指纹 14.润家连锁超市(美联购物中心店).jpg：1280×1706 JPEG；SHA-256 0589b66788746499b68c9813b97ef042c2d1a239cd70be63056d57f4a9587fe5；64位pHash aecc9d1341633373；64位dHash 6c271545c55d4565；在21张提交照片中的相同SHA-256出现次数=1。；图像元数据限制：EXIF标签数为0；无嵌入式EXIF日期、GPS、设备或相机信息。采用的日期和地点均为像素内可见水印，未得到独立认证。；可见地点与合同门店冲突，且未提供地址映射。</t>
        </is>
      </c>
      <c r="M72" s="14" t="inlineStr">
        <is>
          <t>提供证明水印地点属于合同门店经营场所的权威地址映射，或替换为活动期内可见润家连锁超市(美联购物中心店)身份的照片。</t>
        </is>
      </c>
    </row>
    <row r="73" ht="108" customHeight="1">
      <c r="A73" s="14" t="n">
        <v>15</v>
      </c>
      <c r="B73" s="14" t="inlineStr">
        <is>
          <t>百佳华(石岩店)</t>
        </is>
      </c>
      <c r="C73" s="14" t="inlineStr">
        <is>
          <t>15。石岩百佳华.jpg</t>
        </is>
      </c>
      <c r="D73" s="14" t="inlineStr">
        <is>
          <t>2026-04-30</t>
        </is>
      </c>
      <c r="E73" s="14" t="inlineStr">
        <is>
          <t>广东省深圳市宝安区石岩街道佳华豪苑</t>
        </is>
      </c>
      <c r="F73" s="14" t="inlineStr">
        <is>
          <t>是</t>
        </is>
      </c>
      <c r="G73" s="14" t="inlineStr">
        <is>
          <t>弱（仅文件名）</t>
        </is>
      </c>
      <c r="H73" s="14" t="inlineStr">
        <is>
          <t>是</t>
        </is>
      </c>
      <c r="I73" s="14" t="inlineStr">
        <is>
          <t>未发现</t>
        </is>
      </c>
      <c r="J73" s="20" t="inlineStr">
        <is>
          <t>补证</t>
        </is>
      </c>
      <c r="K73" s="18">
        <f>IF(J73="通过",1000,0)</f>
        <v/>
      </c>
      <c r="L73" s="14" t="inlineStr">
        <is>
          <t>陈列观察：完整端架显示四个纵向参半产品层级。；文件指纹 15。石岩百佳华.jpg：1279×1706 JPEG；SHA-256 9845f5c8c808e139ae93bf4a163372cf5e54e7aeb39a8dfbfa1d0aa47e5dfca8；64位pHash d142a7f456b03e2b；64位dHash 88d8f1f0f0b89e6e；在21张提交照片中的相同SHA-256出现次数=1。；图像元数据限制：EXIF标签数为0；无嵌入式EXIF日期、GPS、设备或相机信息。采用的日期和地点均为像素内可见水印，未得到独立认证。；独立可见证据未建立合同百佳华门店身份。</t>
        </is>
      </c>
      <c r="M73" s="14" t="inlineStr">
        <is>
          <t>补充可见百佳华(石岩店)招牌的照片，或提供佳华豪苑与合同门店之间的权威地址映射。</t>
        </is>
      </c>
    </row>
    <row r="74" ht="108" customHeight="1">
      <c r="A74" s="14" t="n">
        <v>16</v>
      </c>
      <c r="B74" s="14" t="inlineStr">
        <is>
          <t>田心金正和</t>
        </is>
      </c>
      <c r="C74" s="14" t="inlineStr">
        <is>
          <t>16.田心金正和.jpg</t>
        </is>
      </c>
      <c r="D74" s="14" t="inlineStr">
        <is>
          <t>2026-04-30</t>
        </is>
      </c>
      <c r="E74" s="14" t="inlineStr">
        <is>
          <t>东莞市·金正和百货(田心文化商业广场店)</t>
        </is>
      </c>
      <c r="F74" s="14" t="inlineStr">
        <is>
          <t>是</t>
        </is>
      </c>
      <c r="G74" s="14" t="inlineStr">
        <is>
          <t>是</t>
        </is>
      </c>
      <c r="H74" s="14" t="inlineStr">
        <is>
          <t>是</t>
        </is>
      </c>
      <c r="I74" s="14" t="inlineStr">
        <is>
          <t>未发现</t>
        </is>
      </c>
      <c r="J74" s="19" t="inlineStr">
        <is>
          <t>通过</t>
        </is>
      </c>
      <c r="K74" s="18">
        <f>IF(J74="通过",1000,0)</f>
        <v/>
      </c>
      <c r="L74" s="14" t="inlineStr">
        <is>
          <t>陈列观察：完整岛柜转角及多层大量参半产品可见。；文件指纹 16.田心金正和.jpg：1279×1706 JPEG；SHA-256 f00f97dc46a52568db5b292f7edb26bedfbc0d6f786e746acea6a56940a7c500；64位pHash eb89b563d205b296；64位dHash d3721965094b6e0c；在21张提交照片中的相同SHA-256出现次数=1。；图像元数据限制：EXIF标签数为0；无嵌入式EXIF日期、GPS、设备或相机信息。采用的日期和地点均为像素内可见水印，未得到独立认证。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74" s="14" t="inlineStr"/>
    </row>
    <row r="75" ht="108" customHeight="1">
      <c r="A75" s="14" t="n">
        <v>17</v>
      </c>
      <c r="B75" s="14" t="inlineStr">
        <is>
          <t>荟和超市(莹展荟店)</t>
        </is>
      </c>
      <c r="C75" s="14" t="inlineStr">
        <is>
          <t>17·荟和超市(莹展荟店).jpg</t>
        </is>
      </c>
      <c r="D75" s="14" t="inlineStr">
        <is>
          <t>2026-04-30</t>
        </is>
      </c>
      <c r="E75" s="14" t="inlineStr">
        <is>
          <t>深圳市·荟和超市(莹展荟店)</t>
        </is>
      </c>
      <c r="F75" s="14" t="inlineStr">
        <is>
          <t>是</t>
        </is>
      </c>
      <c r="G75" s="14" t="inlineStr">
        <is>
          <t>是</t>
        </is>
      </c>
      <c r="H75" s="14" t="inlineStr">
        <is>
          <t>是</t>
        </is>
      </c>
      <c r="I75" s="14" t="inlineStr">
        <is>
          <t>未发现</t>
        </is>
      </c>
      <c r="J75" s="19" t="inlineStr">
        <is>
          <t>通过</t>
        </is>
      </c>
      <c r="K75" s="18">
        <f>IF(J75="通过",1000,0)</f>
        <v/>
      </c>
      <c r="L75" s="14" t="inlineStr">
        <is>
          <t>陈列观察：完整大型岛柜及大面积参半堆叠、多排面可见。；文件指纹 17·荟和超市(莹展荟店).jpg：1080×1920 JPEG；SHA-256 c6a9ac8b3b620adf996334ec432e725c45b4e302c481354caa4959a97c6f1ef1；64位pHash c0357e5c8cec3574；64位dHash bac886e3f0d4b3c7；在21张提交照片中的相同SHA-256出现次数=1。；图像元数据限制：EXIF标签数为0；无嵌入式EXIF日期、GPS、设备或相机信息。采用的日期和地点均为像素内可见水印，未得到独立认证。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75" s="14" t="inlineStr"/>
    </row>
    <row r="76" ht="108" customHeight="1">
      <c r="A76" s="14" t="n">
        <v>18</v>
      </c>
      <c r="B76" s="14" t="inlineStr">
        <is>
          <t>三乐购物广场(坦洲店)</t>
        </is>
      </c>
      <c r="C76" s="14" t="inlineStr">
        <is>
          <t>18.三乐购物广场(坦洲店).jpg</t>
        </is>
      </c>
      <c r="D76" s="14" t="inlineStr">
        <is>
          <t>2026-04-06</t>
        </is>
      </c>
      <c r="E76" s="14" t="inlineStr">
        <is>
          <t>中山市·三乐购物广场(坦洲店)</t>
        </is>
      </c>
      <c r="F76" s="14" t="inlineStr">
        <is>
          <t>是</t>
        </is>
      </c>
      <c r="G76" s="14" t="inlineStr">
        <is>
          <t>是</t>
        </is>
      </c>
      <c r="H76" s="14" t="inlineStr">
        <is>
          <t>是</t>
        </is>
      </c>
      <c r="I76" s="14" t="inlineStr">
        <is>
          <t>未发现</t>
        </is>
      </c>
      <c r="J76" s="19" t="inlineStr">
        <is>
          <t>通过</t>
        </is>
      </c>
      <c r="K76" s="18">
        <f>IF(J76="通过",1000,0)</f>
        <v/>
      </c>
      <c r="L76" s="14" t="inlineStr">
        <is>
          <t>陈列观察：完整货架显示四个纵向参半礼盒层级。；文件指纹 18.三乐购物广场(坦洲店).jpg：1281×1706 JPEG；SHA-256 61f0c8113bfbfafd9cc02a2ae69881cb8cc456e911c32c78ba618ab3467153fe；64位pHash ff181159c160e0ff；64位dHash 187923072233282a；在21张提交照片中的相同SHA-256出现次数=1。；图像元数据限制：EXIF标签数为0；无嵌入式EXIF日期、GPS、设备或相机信息。采用的日期和地点均为像素内可见水印，未得到独立认证。</t>
        </is>
      </c>
      <c r="M76" s="14" t="inlineStr"/>
    </row>
    <row r="77" ht="108" customHeight="1">
      <c r="A77" s="14" t="n">
        <v>19</v>
      </c>
      <c r="B77" s="14" t="inlineStr">
        <is>
          <t>大康惠福源商业广场</t>
        </is>
      </c>
      <c r="C77" s="14" t="inlineStr">
        <is>
          <t>19.福源大康惠.jpg</t>
        </is>
      </c>
      <c r="D77" s="14" t="inlineStr">
        <is>
          <t>2026-04-30</t>
        </is>
      </c>
      <c r="E77" s="14" t="inlineStr">
        <is>
          <t>东莞市·福源商业广场</t>
        </is>
      </c>
      <c r="F77" s="14" t="inlineStr">
        <is>
          <t>是</t>
        </is>
      </c>
      <c r="G77" s="14" t="inlineStr">
        <is>
          <t>基本匹配</t>
        </is>
      </c>
      <c r="H77" s="14" t="inlineStr">
        <is>
          <t>是</t>
        </is>
      </c>
      <c r="I77" s="14" t="inlineStr">
        <is>
          <t>未发现</t>
        </is>
      </c>
      <c r="J77" s="19" t="inlineStr">
        <is>
          <t>通过</t>
        </is>
      </c>
      <c r="K77" s="18">
        <f>IF(J77="通过",1000,0)</f>
        <v/>
      </c>
      <c r="L77" s="14" t="inlineStr">
        <is>
          <t>陈列观察：完整广角岛柜显示参半产品跨四个以上货架层级。；文件指纹 19.福源大康惠.jpg：1279×1706 JPEG；SHA-256 a83b7852588f47ff9fc8c43791eab025aa930eb7efa97d4da13cd54024be754c；64位pHash 944b3b3cb4a64e65；64位dHash 3c92e09c94b71e3c；在21张提交照片中的相同SHA-256出现次数=1。；图像元数据限制：EXIF标签数为0；无嵌入式EXIF日期、GPS、设备或相机信息。采用的日期和地点均为像素内可见水印，未得到独立认证。；未提供确认“福源商业广场”为合同完整名称缩写的名称/地址材料。</t>
        </is>
      </c>
      <c r="M77" s="14" t="inlineStr">
        <is>
          <t>如政策要求精确店名证明，请补充分店名称/地址映射。</t>
        </is>
      </c>
    </row>
    <row r="78" ht="108" customHeight="1">
      <c r="A78" s="14" t="n">
        <v>20</v>
      </c>
      <c r="B78" s="14" t="inlineStr">
        <is>
          <t>好多宝精选超市(龙眼市场店)</t>
        </is>
      </c>
      <c r="C78" s="14" t="inlineStr">
        <is>
          <t>20.好多宝精选超市(龙眼市场店).jpg</t>
        </is>
      </c>
      <c r="D78" s="14" t="inlineStr">
        <is>
          <t>2026-04-02</t>
        </is>
      </c>
      <c r="E78" s="14" t="inlineStr">
        <is>
          <t>龙眼市场(龙眼路)</t>
        </is>
      </c>
      <c r="F78" s="14" t="inlineStr">
        <is>
          <t>是</t>
        </is>
      </c>
      <c r="G78" s="14" t="inlineStr">
        <is>
          <t>基本匹配</t>
        </is>
      </c>
      <c r="H78" s="14" t="inlineStr">
        <is>
          <t>是</t>
        </is>
      </c>
      <c r="I78" s="14" t="inlineStr">
        <is>
          <t>未发现</t>
        </is>
      </c>
      <c r="J78" s="19" t="inlineStr">
        <is>
          <t>通过</t>
        </is>
      </c>
      <c r="K78" s="18">
        <f>IF(J78="通过",1000,0)</f>
        <v/>
      </c>
      <c r="L78" s="14" t="inlineStr">
        <is>
          <t>陈列观察：完整货架显示至少五个纵向层级及多列参半产品。；文件指纹 20.好多宝精选超市(龙眼市场店).jpg：1200×1600 JPEG；SHA-256 a2bc6e9f7833a6b2dace149843649c6c2a6b5988e04def5a9bc64d4b2b8740fc；64位pHash d58198ddeb4063e3；64位dHash 32f6ced242482840；在21张提交照片中的相同SHA-256出现次数=1。；图像元数据限制：EXIF标签数为0；无嵌入式EXIF日期、GPS、设备或相机信息。采用的日期和地点均为像素内可见水印，未得到独立认证。；未提供将可见龙眼市场地点关联至好多宝精选超市的地址/门店招牌材料。</t>
        </is>
      </c>
      <c r="M78" s="14" t="inlineStr">
        <is>
          <t>补充可见门店招牌，或提供龙眼市场(龙眼路)与好多宝精选超市(龙眼市场店)之间的权威地址映射。</t>
        </is>
      </c>
    </row>
    <row r="79">
      <c r="A79" s="21" t="inlineStr">
        <is>
          <t>合计</t>
        </is>
      </c>
      <c r="B79" s="21" t="n"/>
      <c r="C79" s="21" t="inlineStr">
        <is>
          <t>照片21张</t>
        </is>
      </c>
      <c r="D79" s="21" t="n"/>
      <c r="E79" s="21" t="n"/>
      <c r="F79" s="21" t="n"/>
      <c r="G79" s="21" t="n"/>
      <c r="H79" s="21" t="n"/>
      <c r="I79" s="21" t="n"/>
      <c r="J79" s="21">
        <f>COUNTIF(J59:J78,"通过")&amp;"家通过"</f>
        <v/>
      </c>
      <c r="K79" s="21">
        <f>SUM(K59:K78)</f>
        <v/>
      </c>
      <c r="L79" s="21" t="n"/>
      <c r="M79" s="21" t="n"/>
    </row>
    <row r="81" ht="24" customHeight="1">
      <c r="A81" s="11" t="inlineStr">
        <is>
          <t>四、销售Excel 36条SKU明细</t>
        </is>
      </c>
    </row>
    <row r="82" ht="42" customHeight="1">
      <c r="A82" s="12" t="inlineStr">
        <is>
          <t>来源：2026年4月销售明细20260509164207765.xlsx / Sheet1。客户和期间与合同一致，但没有门店字段。</t>
        </is>
      </c>
    </row>
    <row r="83" ht="30" customHeight="1">
      <c r="A83" s="13" t="inlineStr">
        <is>
          <t>Excel行</t>
        </is>
      </c>
      <c r="B83" s="13" t="inlineStr">
        <is>
          <t>客户</t>
        </is>
      </c>
      <c r="C83" s="13" t="inlineStr">
        <is>
          <t>期间</t>
        </is>
      </c>
      <c r="D83" s="13" t="inlineStr">
        <is>
          <t>商品编码</t>
        </is>
      </c>
      <c r="E83" s="13" t="inlineStr">
        <is>
          <t>条码</t>
        </is>
      </c>
      <c r="F83" s="13" t="inlineStr">
        <is>
          <t>商品名称</t>
        </is>
      </c>
      <c r="G83" s="13" t="inlineStr">
        <is>
          <t>数量</t>
        </is>
      </c>
      <c r="H83" s="13" t="inlineStr">
        <is>
          <t>零售金额</t>
        </is>
      </c>
      <c r="I83" s="13" t="inlineStr">
        <is>
          <t>在本案中的作用</t>
        </is>
      </c>
    </row>
    <row r="84" outlineLevel="1" ht="36" customHeight="1">
      <c r="A84" s="14" t="n">
        <v>2</v>
      </c>
      <c r="B84" s="14" t="inlineStr">
        <is>
          <t>东莞市诚成行供应链管理有限公司</t>
        </is>
      </c>
      <c r="C84" s="14" t="inlineStr">
        <is>
          <t>2026-04-01 至 2026-04-30</t>
        </is>
      </c>
      <c r="D84" s="14" t="inlineStr">
        <is>
          <t>020260012</t>
        </is>
      </c>
      <c r="E84" s="14" t="inlineStr">
        <is>
          <t>6970356167334</t>
        </is>
      </c>
      <c r="F84" s="14" t="inlineStr">
        <is>
          <t>参半oralshark-SP1高山茉莉味科研白牙膏180g</t>
        </is>
      </c>
      <c r="G84" s="15" t="n">
        <v>812</v>
      </c>
      <c r="H84" s="17" t="n">
        <v>13722.8</v>
      </c>
      <c r="I84" s="14" t="inlineStr">
        <is>
          <t>支持合同客户和活动期内的总体销售；不能证明单店陈列。</t>
        </is>
      </c>
    </row>
    <row r="85" outlineLevel="1" ht="36" customHeight="1">
      <c r="A85" s="14" t="n">
        <v>3</v>
      </c>
      <c r="B85" s="14" t="inlineStr">
        <is>
          <t>东莞市诚成行供应链管理有限公司</t>
        </is>
      </c>
      <c r="C85" s="14" t="inlineStr">
        <is>
          <t>2026-04-01 至 2026-04-30</t>
        </is>
      </c>
      <c r="D85" s="14" t="inlineStr">
        <is>
          <t>020260011</t>
        </is>
      </c>
      <c r="E85" s="14" t="inlineStr">
        <is>
          <t>6970356167341</t>
        </is>
      </c>
      <c r="F85" s="14" t="inlineStr">
        <is>
          <t>参半oralshark-SP1玫瑰清茶味净清新牙膏180g</t>
        </is>
      </c>
      <c r="G85" s="15" t="n">
        <v>1099</v>
      </c>
      <c r="H85" s="17" t="n">
        <v>15166.2</v>
      </c>
      <c r="I85" s="14" t="inlineStr">
        <is>
          <t>支持合同客户和活动期内的总体销售；不能证明单店陈列。</t>
        </is>
      </c>
    </row>
    <row r="86" outlineLevel="1" ht="36" customHeight="1">
      <c r="A86" s="14" t="n">
        <v>4</v>
      </c>
      <c r="B86" s="14" t="inlineStr">
        <is>
          <t>东莞市诚成行供应链管理有限公司</t>
        </is>
      </c>
      <c r="C86" s="14" t="inlineStr">
        <is>
          <t>2026-04-01 至 2026-04-30</t>
        </is>
      </c>
      <c r="D86" s="14" t="inlineStr">
        <is>
          <t>020260009</t>
        </is>
      </c>
      <c r="E86" s="14" t="inlineStr">
        <is>
          <t>6970356164241</t>
        </is>
      </c>
      <c r="F86" s="14" t="inlineStr">
        <is>
          <t>参半oralshark-SP2凝香茉莉味氨基酸牙膏180g</t>
        </is>
      </c>
      <c r="G86" s="15" t="n">
        <v>567</v>
      </c>
      <c r="H86" s="17" t="n">
        <v>11283.3</v>
      </c>
      <c r="I86" s="14" t="inlineStr">
        <is>
          <t>支持合同客户和活动期内的总体销售；不能证明单店陈列。</t>
        </is>
      </c>
    </row>
    <row r="87" outlineLevel="1" ht="36" customHeight="1">
      <c r="A87" s="14" t="n">
        <v>5</v>
      </c>
      <c r="B87" s="14" t="inlineStr">
        <is>
          <t>东莞市诚成行供应链管理有限公司</t>
        </is>
      </c>
      <c r="C87" s="14" t="inlineStr">
        <is>
          <t>2026-04-01 至 2026-04-30</t>
        </is>
      </c>
      <c r="D87" s="14" t="inlineStr">
        <is>
          <t>020260007</t>
        </is>
      </c>
      <c r="E87" s="14" t="inlineStr">
        <is>
          <t>6970356164203</t>
        </is>
      </c>
      <c r="F87" s="14" t="inlineStr">
        <is>
          <t>参半oralshark-SP2十里晚香味益清新牙膏180g</t>
        </is>
      </c>
      <c r="G87" s="15" t="n">
        <v>308</v>
      </c>
      <c r="H87" s="17" t="n">
        <v>7669.2</v>
      </c>
      <c r="I87" s="14" t="inlineStr">
        <is>
          <t>支持合同客户和活动期内的总体销售；不能证明单店陈列。</t>
        </is>
      </c>
    </row>
    <row r="88" outlineLevel="1" ht="36" customHeight="1">
      <c r="A88" s="14" t="n">
        <v>6</v>
      </c>
      <c r="B88" s="14" t="inlineStr">
        <is>
          <t>东莞市诚成行供应链管理有限公司</t>
        </is>
      </c>
      <c r="C88" s="14" t="inlineStr">
        <is>
          <t>2026-04-01 至 2026-04-30</t>
        </is>
      </c>
      <c r="D88" s="14" t="inlineStr">
        <is>
          <t>020260008</t>
        </is>
      </c>
      <c r="E88" s="14" t="inlineStr">
        <is>
          <t>6970356164258</t>
        </is>
      </c>
      <c r="F88" s="14" t="inlineStr">
        <is>
          <t>参半oralshark-SP3清水白桃味星璨白牙膏160g</t>
        </is>
      </c>
      <c r="G88" s="15" t="n">
        <v>61</v>
      </c>
      <c r="H88" s="17" t="n">
        <v>1823.9</v>
      </c>
      <c r="I88" s="14" t="inlineStr">
        <is>
          <t>支持合同客户和活动期内的总体销售；不能证明单店陈列。</t>
        </is>
      </c>
    </row>
    <row r="89" outlineLevel="1" ht="36" customHeight="1">
      <c r="A89" s="14" t="n">
        <v>7</v>
      </c>
      <c r="B89" s="14" t="inlineStr">
        <is>
          <t>东莞市诚成行供应链管理有限公司</t>
        </is>
      </c>
      <c r="C89" s="14" t="inlineStr">
        <is>
          <t>2026-04-01 至 2026-04-30</t>
        </is>
      </c>
      <c r="D89" s="14" t="inlineStr">
        <is>
          <t>020260013</t>
        </is>
      </c>
      <c r="E89" s="14" t="inlineStr">
        <is>
          <t>6970356164296</t>
        </is>
      </c>
      <c r="F89" s="14" t="inlineStr">
        <is>
          <t>参半oralshark-SP4倍感薄荷味清新牙膏120g</t>
        </is>
      </c>
      <c r="G89" s="15" t="n">
        <v>129</v>
      </c>
      <c r="H89" s="17" t="n">
        <v>5147.1</v>
      </c>
      <c r="I89" s="14" t="inlineStr">
        <is>
          <t>支持合同客户和活动期内的总体销售；不能证明单店陈列。</t>
        </is>
      </c>
    </row>
    <row r="90" outlineLevel="1" ht="36" customHeight="1">
      <c r="A90" s="14" t="n">
        <v>8</v>
      </c>
      <c r="B90" s="14" t="inlineStr">
        <is>
          <t>东莞市诚成行供应链管理有限公司</t>
        </is>
      </c>
      <c r="C90" s="14" t="inlineStr">
        <is>
          <t>2026-04-01 至 2026-04-30</t>
        </is>
      </c>
      <c r="D90" s="14" t="inlineStr">
        <is>
          <t>020260010</t>
        </is>
      </c>
      <c r="E90" s="14" t="inlineStr">
        <is>
          <t>6970356164289</t>
        </is>
      </c>
      <c r="F90" s="14" t="inlineStr">
        <is>
          <t>参半oralshark-SP4美白牙膏120g</t>
        </is>
      </c>
      <c r="G90" s="15" t="n">
        <v>325</v>
      </c>
      <c r="H90" s="17" t="n">
        <v>9717.5</v>
      </c>
      <c r="I90" s="14" t="inlineStr">
        <is>
          <t>支持合同客户和活动期内的总体销售；不能证明单店陈列。</t>
        </is>
      </c>
    </row>
    <row r="91" outlineLevel="1" ht="36" customHeight="1">
      <c r="A91" s="14" t="n">
        <v>9</v>
      </c>
      <c r="B91" s="14" t="inlineStr">
        <is>
          <t>东莞市诚成行供应链管理有限公司</t>
        </is>
      </c>
      <c r="C91" s="14" t="inlineStr">
        <is>
          <t>2026-04-01 至 2026-04-30</t>
        </is>
      </c>
      <c r="D91" s="14" t="inlineStr">
        <is>
          <t>020260031</t>
        </is>
      </c>
      <c r="E91" s="14" t="inlineStr">
        <is>
          <t>6970356166979</t>
        </is>
      </c>
      <c r="F91" s="14" t="inlineStr">
        <is>
          <t>参半oralshark口气清新护理3+2量贩装160g+160g+100g</t>
        </is>
      </c>
      <c r="G91" s="15" t="n">
        <v>3517</v>
      </c>
      <c r="H91" s="17" t="n">
        <v>105158.3</v>
      </c>
      <c r="I91" s="14" t="inlineStr">
        <is>
          <t>支持合同客户和活动期内的总体销售；不能证明单店陈列。</t>
        </is>
      </c>
    </row>
    <row r="92" outlineLevel="1" ht="36" customHeight="1">
      <c r="A92" s="14" t="n">
        <v>10</v>
      </c>
      <c r="B92" s="14" t="inlineStr">
        <is>
          <t>东莞市诚成行供应链管理有限公司</t>
        </is>
      </c>
      <c r="C92" s="14" t="inlineStr">
        <is>
          <t>2026-04-01 至 2026-04-30</t>
        </is>
      </c>
      <c r="D92" s="14" t="inlineStr">
        <is>
          <t>020260037</t>
        </is>
      </c>
      <c r="E92" s="14" t="inlineStr">
        <is>
          <t>6970356164388</t>
        </is>
      </c>
      <c r="F92" s="14" t="inlineStr">
        <is>
          <t>参半oralshark臻白沁香1+2特享装牙膏（小苏打160g+西柚100g+龙井100g）</t>
        </is>
      </c>
      <c r="G92" s="15" t="n">
        <v>406</v>
      </c>
      <c r="H92" s="17" t="n">
        <v>12139.4</v>
      </c>
      <c r="I92" s="14" t="inlineStr">
        <is>
          <t>支持合同客户和活动期内的总体销售；不能证明单店陈列。</t>
        </is>
      </c>
    </row>
    <row r="93" outlineLevel="1" ht="36" customHeight="1">
      <c r="A93" s="14" t="n">
        <v>11</v>
      </c>
      <c r="B93" s="14" t="inlineStr">
        <is>
          <t>东莞市诚成行供应链管理有限公司</t>
        </is>
      </c>
      <c r="C93" s="14" t="inlineStr">
        <is>
          <t>2026-04-01 至 2026-04-30</t>
        </is>
      </c>
      <c r="D93" s="14" t="inlineStr">
        <is>
          <t>030160008</t>
        </is>
      </c>
      <c r="E93" s="14" t="inlineStr">
        <is>
          <t>6970356164159</t>
        </is>
      </c>
      <c r="F93" s="14" t="inlineStr">
        <is>
          <t>参半白巧棒牙刷（单支装 ）代言人</t>
        </is>
      </c>
      <c r="G93" s="15" t="n">
        <v>128</v>
      </c>
      <c r="H93" s="17" t="n">
        <v>2150.4</v>
      </c>
      <c r="I93" s="14" t="inlineStr">
        <is>
          <t>支持合同客户和活动期内的总体销售；不能证明单店陈列。</t>
        </is>
      </c>
    </row>
    <row r="94" outlineLevel="1" ht="36" customHeight="1">
      <c r="A94" s="14" t="n">
        <v>12</v>
      </c>
      <c r="B94" s="14" t="inlineStr">
        <is>
          <t>东莞市诚成行供应链管理有限公司</t>
        </is>
      </c>
      <c r="C94" s="14" t="inlineStr">
        <is>
          <t>2026-04-01 至 2026-04-30</t>
        </is>
      </c>
      <c r="D94" s="14" t="inlineStr">
        <is>
          <t>020260034</t>
        </is>
      </c>
      <c r="E94" s="14" t="inlineStr">
        <is>
          <t>6970356168454</t>
        </is>
      </c>
      <c r="F94" s="14" t="inlineStr">
        <is>
          <t>参半倍养护牙膏100g</t>
        </is>
      </c>
      <c r="G94" s="15" t="n">
        <v>813</v>
      </c>
      <c r="H94" s="17" t="n">
        <v>16178.7</v>
      </c>
      <c r="I94" s="14" t="inlineStr">
        <is>
          <t>支持合同客户和活动期内的总体销售；不能证明单店陈列。</t>
        </is>
      </c>
    </row>
    <row r="95" outlineLevel="1" ht="36" customHeight="1">
      <c r="A95" s="14" t="n">
        <v>13</v>
      </c>
      <c r="B95" s="14" t="inlineStr">
        <is>
          <t>东莞市诚成行供应链管理有限公司</t>
        </is>
      </c>
      <c r="C95" s="14" t="inlineStr">
        <is>
          <t>2026-04-01 至 2026-04-30</t>
        </is>
      </c>
      <c r="D95" s="14" t="inlineStr">
        <is>
          <t>020260005</t>
        </is>
      </c>
      <c r="E95" s="14" t="inlineStr">
        <is>
          <t>6970356165774</t>
        </is>
      </c>
      <c r="F95" s="14" t="inlineStr">
        <is>
          <t>参半草莓优格味儿童乳酸菌牙膏60g</t>
        </is>
      </c>
      <c r="G95" s="15" t="n">
        <v>114</v>
      </c>
      <c r="H95" s="17" t="n">
        <v>2496.6</v>
      </c>
      <c r="I95" s="14" t="inlineStr">
        <is>
          <t>支持合同客户和活动期内的总体销售；不能证明单店陈列。</t>
        </is>
      </c>
    </row>
    <row r="96" outlineLevel="1" ht="36" customHeight="1">
      <c r="A96" s="14" t="n">
        <v>14</v>
      </c>
      <c r="B96" s="14" t="inlineStr">
        <is>
          <t>东莞市诚成行供应链管理有限公司</t>
        </is>
      </c>
      <c r="C96" s="14" t="inlineStr">
        <is>
          <t>2026-04-01 至 2026-04-30</t>
        </is>
      </c>
      <c r="D96" s="14" t="inlineStr">
        <is>
          <t>020260015</t>
        </is>
      </c>
      <c r="E96" s="14" t="inlineStr">
        <is>
          <t>6970356168904</t>
        </is>
      </c>
      <c r="F96" s="14" t="inlineStr">
        <is>
          <t>参半多效清新口腔喷雾（劲爽薄荷）20ml</t>
        </is>
      </c>
      <c r="G96" s="15" t="n">
        <v>28</v>
      </c>
      <c r="H96" s="17" t="n">
        <v>728</v>
      </c>
      <c r="I96" s="14" t="inlineStr">
        <is>
          <t>支持合同客户和活动期内的总体销售；不能证明单店陈列。</t>
        </is>
      </c>
    </row>
    <row r="97" outlineLevel="1" ht="36" customHeight="1">
      <c r="A97" s="14" t="n">
        <v>15</v>
      </c>
      <c r="B97" s="14" t="inlineStr">
        <is>
          <t>东莞市诚成行供应链管理有限公司</t>
        </is>
      </c>
      <c r="C97" s="14" t="inlineStr">
        <is>
          <t>2026-04-01 至 2026-04-30</t>
        </is>
      </c>
      <c r="D97" s="14" t="inlineStr">
        <is>
          <t>020260019</t>
        </is>
      </c>
      <c r="E97" s="14" t="inlineStr">
        <is>
          <t>6970356165910</t>
        </is>
      </c>
      <c r="F97" s="14" t="inlineStr">
        <is>
          <t>参半儿童蜜桃味奥拉氟牙膏60g</t>
        </is>
      </c>
      <c r="G97" s="15" t="n">
        <v>98</v>
      </c>
      <c r="H97" s="17" t="n">
        <v>2930.2</v>
      </c>
      <c r="I97" s="14" t="inlineStr">
        <is>
          <t>支持合同客户和活动期内的总体销售；不能证明单店陈列。</t>
        </is>
      </c>
    </row>
    <row r="98" outlineLevel="1" ht="36" customHeight="1">
      <c r="A98" s="14" t="n">
        <v>16</v>
      </c>
      <c r="B98" s="14" t="inlineStr">
        <is>
          <t>东莞市诚成行供应链管理有限公司</t>
        </is>
      </c>
      <c r="C98" s="14" t="inlineStr">
        <is>
          <t>2026-04-01 至 2026-04-30</t>
        </is>
      </c>
      <c r="D98" s="14" t="inlineStr">
        <is>
          <t>030160005</t>
        </is>
      </c>
      <c r="E98" s="14" t="inlineStr">
        <is>
          <t>6970356166450</t>
        </is>
      </c>
      <c r="F98" s="14" t="inlineStr">
        <is>
          <t>参半儿童泡泡魔法棒牙刷双支装</t>
        </is>
      </c>
      <c r="G98" s="15" t="n">
        <v>170</v>
      </c>
      <c r="H98" s="17" t="n">
        <v>4403</v>
      </c>
      <c r="I98" s="14" t="inlineStr">
        <is>
          <t>支持合同客户和活动期内的总体销售；不能证明单店陈列。</t>
        </is>
      </c>
    </row>
    <row r="99" outlineLevel="1" ht="36" customHeight="1">
      <c r="A99" s="14" t="n">
        <v>17</v>
      </c>
      <c r="B99" s="14" t="inlineStr">
        <is>
          <t>东莞市诚成行供应链管理有限公司</t>
        </is>
      </c>
      <c r="C99" s="14" t="inlineStr">
        <is>
          <t>2026-04-01 至 2026-04-30</t>
        </is>
      </c>
      <c r="D99" s="14" t="inlineStr">
        <is>
          <t>030160004</t>
        </is>
      </c>
      <c r="E99" s="14" t="inlineStr">
        <is>
          <t>6970356166931</t>
        </is>
      </c>
      <c r="F99" s="14" t="inlineStr">
        <is>
          <t>参半儿童宇航员牙刷双支装</t>
        </is>
      </c>
      <c r="G99" s="15" t="n">
        <v>145</v>
      </c>
      <c r="H99" s="17" t="n">
        <v>2885.5</v>
      </c>
      <c r="I99" s="14" t="inlineStr">
        <is>
          <t>支持合同客户和活动期内的总体销售；不能证明单店陈列。</t>
        </is>
      </c>
    </row>
    <row r="100" outlineLevel="1" ht="36" customHeight="1">
      <c r="A100" s="14" t="n">
        <v>18</v>
      </c>
      <c r="B100" s="14" t="inlineStr">
        <is>
          <t>东莞市诚成行供应链管理有限公司</t>
        </is>
      </c>
      <c r="C100" s="14" t="inlineStr">
        <is>
          <t>2026-04-01 至 2026-04-30</t>
        </is>
      </c>
      <c r="D100" s="14" t="inlineStr">
        <is>
          <t>020260022</t>
        </is>
      </c>
      <c r="E100" s="14" t="inlineStr">
        <is>
          <t>6970356162391</t>
        </is>
      </c>
      <c r="F100" s="14" t="inlineStr">
        <is>
          <t>参半沸石净齿牙膏140g</t>
        </is>
      </c>
      <c r="G100" s="15" t="n">
        <v>1082</v>
      </c>
      <c r="H100" s="17" t="n">
        <v>32351.8</v>
      </c>
      <c r="I100" s="14" t="inlineStr">
        <is>
          <t>支持合同客户和活动期内的总体销售；不能证明单店陈列。</t>
        </is>
      </c>
    </row>
    <row r="101" outlineLevel="1" ht="36" customHeight="1">
      <c r="A101" s="14" t="n">
        <v>19</v>
      </c>
      <c r="B101" s="14" t="inlineStr">
        <is>
          <t>东莞市诚成行供应链管理有限公司</t>
        </is>
      </c>
      <c r="C101" s="14" t="inlineStr">
        <is>
          <t>2026-04-01 至 2026-04-30</t>
        </is>
      </c>
      <c r="D101" s="14" t="inlineStr">
        <is>
          <t>020260023</t>
        </is>
      </c>
      <c r="E101" s="14" t="inlineStr">
        <is>
          <t>6970356162810</t>
        </is>
      </c>
      <c r="F101" s="14" t="inlineStr">
        <is>
          <t>参半沸石美白牙膏140g</t>
        </is>
      </c>
      <c r="G101" s="15" t="n">
        <v>1139</v>
      </c>
      <c r="H101" s="17" t="n">
        <v>34056.1</v>
      </c>
      <c r="I101" s="14" t="inlineStr">
        <is>
          <t>支持合同客户和活动期内的总体销售；不能证明单店陈列。</t>
        </is>
      </c>
    </row>
    <row r="102" outlineLevel="1" ht="36" customHeight="1">
      <c r="A102" s="14" t="n">
        <v>20</v>
      </c>
      <c r="B102" s="14" t="inlineStr">
        <is>
          <t>东莞市诚成行供应链管理有限公司</t>
        </is>
      </c>
      <c r="C102" s="14" t="inlineStr">
        <is>
          <t>2026-04-01 至 2026-04-30</t>
        </is>
      </c>
      <c r="D102" s="14" t="inlineStr">
        <is>
          <t>030160009</t>
        </is>
      </c>
      <c r="E102" s="14" t="inlineStr">
        <is>
          <t>6970356160304</t>
        </is>
      </c>
      <c r="F102" s="14" t="inlineStr">
        <is>
          <t>参半光感密柔牙刷 双支装</t>
        </is>
      </c>
      <c r="G102" s="15" t="n">
        <v>104</v>
      </c>
      <c r="H102" s="17" t="n">
        <v>1435.2</v>
      </c>
      <c r="I102" s="14" t="inlineStr">
        <is>
          <t>支持合同客户和活动期内的总体销售；不能证明单店陈列。</t>
        </is>
      </c>
    </row>
    <row r="103" outlineLevel="1" ht="36" customHeight="1">
      <c r="A103" s="14" t="n">
        <v>21</v>
      </c>
      <c r="B103" s="14" t="inlineStr">
        <is>
          <t>东莞市诚成行供应链管理有限公司</t>
        </is>
      </c>
      <c r="C103" s="14" t="inlineStr">
        <is>
          <t>2026-04-01 至 2026-04-30</t>
        </is>
      </c>
      <c r="D103" s="14" t="inlineStr">
        <is>
          <t>030160007</t>
        </is>
      </c>
      <c r="E103" s="14" t="inlineStr">
        <is>
          <t>6970356164500</t>
        </is>
      </c>
      <c r="F103" s="14" t="inlineStr">
        <is>
          <t>参半黑巧棒牙刷（单支装 ）代言人</t>
        </is>
      </c>
      <c r="G103" s="15" t="n">
        <v>96</v>
      </c>
      <c r="H103" s="17" t="n">
        <v>1612.8</v>
      </c>
      <c r="I103" s="14" t="inlineStr">
        <is>
          <t>支持合同客户和活动期内的总体销售；不能证明单店陈列。</t>
        </is>
      </c>
    </row>
    <row r="104" outlineLevel="1" ht="36" customHeight="1">
      <c r="A104" s="14" t="n">
        <v>22</v>
      </c>
      <c r="B104" s="14" t="inlineStr">
        <is>
          <t>东莞市诚成行供应链管理有限公司</t>
        </is>
      </c>
      <c r="C104" s="14" t="inlineStr">
        <is>
          <t>2026-04-01 至 2026-04-30</t>
        </is>
      </c>
      <c r="D104" s="14" t="inlineStr">
        <is>
          <t>020260006</t>
        </is>
      </c>
      <c r="E104" s="14" t="inlineStr">
        <is>
          <t>6970356164395</t>
        </is>
      </c>
      <c r="F104" s="14" t="inlineStr">
        <is>
          <t>参半极光白酵素超值装牙膏(极光白160g+龙井100g)</t>
        </is>
      </c>
      <c r="G104" s="15" t="n">
        <v>182</v>
      </c>
      <c r="H104" s="17" t="n">
        <v>4695.6</v>
      </c>
      <c r="I104" s="14" t="inlineStr">
        <is>
          <t>支持合同客户和活动期内的总体销售；不能证明单店陈列。</t>
        </is>
      </c>
    </row>
    <row r="105" outlineLevel="1" ht="36" customHeight="1">
      <c r="A105" s="14" t="n">
        <v>23</v>
      </c>
      <c r="B105" s="14" t="inlineStr">
        <is>
          <t>东莞市诚成行供应链管理有限公司</t>
        </is>
      </c>
      <c r="C105" s="14" t="inlineStr">
        <is>
          <t>2026-04-01 至 2026-04-30</t>
        </is>
      </c>
      <c r="D105" s="14" t="inlineStr">
        <is>
          <t>020260016</t>
        </is>
      </c>
      <c r="E105" s="14" t="inlineStr">
        <is>
          <t>6970356167853</t>
        </is>
      </c>
      <c r="F105" s="14" t="inlineStr">
        <is>
          <t>参半可护愈创木香味牙膏160g</t>
        </is>
      </c>
      <c r="G105" s="15" t="n">
        <v>169</v>
      </c>
      <c r="H105" s="17" t="n">
        <v>5053.1</v>
      </c>
      <c r="I105" s="14" t="inlineStr">
        <is>
          <t>支持合同客户和活动期内的总体销售；不能证明单店陈列。</t>
        </is>
      </c>
    </row>
    <row r="106" outlineLevel="1" ht="36" customHeight="1">
      <c r="A106" s="14" t="n">
        <v>24</v>
      </c>
      <c r="B106" s="14" t="inlineStr">
        <is>
          <t>东莞市诚成行供应链管理有限公司</t>
        </is>
      </c>
      <c r="C106" s="14" t="inlineStr">
        <is>
          <t>2026-04-01 至 2026-04-30</t>
        </is>
      </c>
      <c r="D106" s="14" t="inlineStr">
        <is>
          <t>020260018</t>
        </is>
      </c>
      <c r="E106" s="14" t="inlineStr">
        <is>
          <t>6970356167839</t>
        </is>
      </c>
      <c r="F106" s="14" t="inlineStr">
        <is>
          <t>参半可清火绒草香味牙膏100g</t>
        </is>
      </c>
      <c r="G106" s="15" t="n">
        <v>53</v>
      </c>
      <c r="H106" s="17" t="n">
        <v>2114.7</v>
      </c>
      <c r="I106" s="14" t="inlineStr">
        <is>
          <t>支持合同客户和活动期内的总体销售；不能证明单店陈列。</t>
        </is>
      </c>
    </row>
    <row r="107" outlineLevel="1" ht="36" customHeight="1">
      <c r="A107" s="14" t="n">
        <v>25</v>
      </c>
      <c r="B107" s="14" t="inlineStr">
        <is>
          <t>东莞市诚成行供应链管理有限公司</t>
        </is>
      </c>
      <c r="C107" s="14" t="inlineStr">
        <is>
          <t>2026-04-01 至 2026-04-30</t>
        </is>
      </c>
      <c r="D107" s="14" t="inlineStr">
        <is>
          <t>020260046</t>
        </is>
      </c>
      <c r="E107" s="14" t="inlineStr">
        <is>
          <t>6970356169338</t>
        </is>
      </c>
      <c r="F107" s="14" t="inlineStr">
        <is>
          <t>参半可益白牙膏葡萄知梨120g</t>
        </is>
      </c>
      <c r="G107" s="15" t="n">
        <v>75</v>
      </c>
      <c r="H107" s="17" t="n">
        <v>2242.5</v>
      </c>
      <c r="I107" s="14" t="inlineStr">
        <is>
          <t>支持合同客户和活动期内的总体销售；不能证明单店陈列。</t>
        </is>
      </c>
    </row>
    <row r="108" outlineLevel="1" ht="36" customHeight="1">
      <c r="A108" s="14" t="n">
        <v>26</v>
      </c>
      <c r="B108" s="14" t="inlineStr">
        <is>
          <t>东莞市诚成行供应链管理有限公司</t>
        </is>
      </c>
      <c r="C108" s="14" t="inlineStr">
        <is>
          <t>2026-04-01 至 2026-04-30</t>
        </is>
      </c>
      <c r="D108" s="14" t="inlineStr">
        <is>
          <t>020260035</t>
        </is>
      </c>
      <c r="E108" s="14" t="inlineStr">
        <is>
          <t>6970356169321</t>
        </is>
      </c>
      <c r="F108" s="14" t="inlineStr">
        <is>
          <t>参半可益清牙膏葡见茶爽120g</t>
        </is>
      </c>
      <c r="G108" s="15" t="n">
        <v>950</v>
      </c>
      <c r="H108" s="17" t="n">
        <v>23655</v>
      </c>
      <c r="I108" s="14" t="inlineStr">
        <is>
          <t>支持合同客户和活动期内的总体销售；不能证明单店陈列。</t>
        </is>
      </c>
    </row>
    <row r="109" outlineLevel="1" ht="36" customHeight="1">
      <c r="A109" s="14" t="n">
        <v>27</v>
      </c>
      <c r="B109" s="14" t="inlineStr">
        <is>
          <t>东莞市诚成行供应链管理有限公司</t>
        </is>
      </c>
      <c r="C109" s="14" t="inlineStr">
        <is>
          <t>2026-04-01 至 2026-04-30</t>
        </is>
      </c>
      <c r="D109" s="14" t="inlineStr">
        <is>
          <t>030160003</t>
        </is>
      </c>
      <c r="E109" s="14" t="inlineStr">
        <is>
          <t>6970356165095</t>
        </is>
      </c>
      <c r="F109" s="14" t="inlineStr">
        <is>
          <t>参半宽头绵云牙刷双支装</t>
        </is>
      </c>
      <c r="G109" s="15" t="n">
        <v>262</v>
      </c>
      <c r="H109" s="17" t="n">
        <v>5213.8</v>
      </c>
      <c r="I109" s="14" t="inlineStr">
        <is>
          <t>支持合同客户和活动期内的总体销售；不能证明单店陈列。</t>
        </is>
      </c>
    </row>
    <row r="110" outlineLevel="1" ht="36" customHeight="1">
      <c r="A110" s="14" t="n">
        <v>28</v>
      </c>
      <c r="B110" s="14" t="inlineStr">
        <is>
          <t>东莞市诚成行供应链管理有限公司</t>
        </is>
      </c>
      <c r="C110" s="14" t="inlineStr">
        <is>
          <t>2026-04-01 至 2026-04-30</t>
        </is>
      </c>
      <c r="D110" s="14" t="inlineStr">
        <is>
          <t>020260024</t>
        </is>
      </c>
      <c r="E110" s="14" t="inlineStr">
        <is>
          <t>6970356162919</t>
        </is>
      </c>
      <c r="F110" s="14" t="inlineStr">
        <is>
          <t>参半零度清新牙膏120g</t>
        </is>
      </c>
      <c r="G110" s="15" t="n">
        <v>86</v>
      </c>
      <c r="H110" s="17" t="n">
        <v>2915.4</v>
      </c>
      <c r="I110" s="14" t="inlineStr">
        <is>
          <t>支持合同客户和活动期内的总体销售；不能证明单店陈列。</t>
        </is>
      </c>
    </row>
    <row r="111" outlineLevel="1" ht="36" customHeight="1">
      <c r="A111" s="14" t="n">
        <v>29</v>
      </c>
      <c r="B111" s="14" t="inlineStr">
        <is>
          <t>东莞市诚成行供应链管理有限公司</t>
        </is>
      </c>
      <c r="C111" s="14" t="inlineStr">
        <is>
          <t>2026-04-01 至 2026-04-30</t>
        </is>
      </c>
      <c r="D111" s="14" t="inlineStr">
        <is>
          <t>030160012</t>
        </is>
      </c>
      <c r="E111" s="14" t="inlineStr">
        <is>
          <t>6970356160496</t>
        </is>
      </c>
      <c r="F111" s="14" t="inlineStr">
        <is>
          <t>参半梦幻绒感牙刷 双支装</t>
        </is>
      </c>
      <c r="G111" s="15" t="n">
        <v>77</v>
      </c>
      <c r="H111" s="17" t="n">
        <v>1216.6</v>
      </c>
      <c r="I111" s="14" t="inlineStr">
        <is>
          <t>支持合同客户和活动期内的总体销售；不能证明单店陈列。</t>
        </is>
      </c>
    </row>
    <row r="112" outlineLevel="1" ht="36" customHeight="1">
      <c r="A112" s="14" t="n">
        <v>30</v>
      </c>
      <c r="B112" s="14" t="inlineStr">
        <is>
          <t>东莞市诚成行供应链管理有限公司</t>
        </is>
      </c>
      <c r="C112" s="14" t="inlineStr">
        <is>
          <t>2026-04-01 至 2026-04-30</t>
        </is>
      </c>
      <c r="D112" s="14" t="inlineStr">
        <is>
          <t>030160002</t>
        </is>
      </c>
      <c r="E112" s="14" t="inlineStr">
        <is>
          <t>6970356165156</t>
        </is>
      </c>
      <c r="F112" s="14" t="inlineStr">
        <is>
          <t>参半绒感净护牙刷双支装</t>
        </is>
      </c>
      <c r="G112" s="15" t="n">
        <v>50</v>
      </c>
      <c r="H112" s="17" t="n">
        <v>995</v>
      </c>
      <c r="I112" s="14" t="inlineStr">
        <is>
          <t>支持合同客户和活动期内的总体销售；不能证明单店陈列。</t>
        </is>
      </c>
    </row>
    <row r="113" outlineLevel="1" ht="36" customHeight="1">
      <c r="A113" s="14" t="n">
        <v>31</v>
      </c>
      <c r="B113" s="14" t="inlineStr">
        <is>
          <t>东莞市诚成行供应链管理有限公司</t>
        </is>
      </c>
      <c r="C113" s="14" t="inlineStr">
        <is>
          <t>2026-04-01 至 2026-04-30</t>
        </is>
      </c>
      <c r="D113" s="14" t="inlineStr">
        <is>
          <t>030160001</t>
        </is>
      </c>
      <c r="E113" s="14" t="inlineStr">
        <is>
          <t>6970356166429</t>
        </is>
      </c>
      <c r="F113" s="14" t="inlineStr">
        <is>
          <t>参半星星魔法棒牙刷单支装</t>
        </is>
      </c>
      <c r="G113" s="15" t="n">
        <v>43</v>
      </c>
      <c r="H113" s="17" t="n">
        <v>855.7</v>
      </c>
      <c r="I113" s="14" t="inlineStr">
        <is>
          <t>支持合同客户和活动期内的总体销售；不能证明单店陈列。</t>
        </is>
      </c>
    </row>
    <row r="114" outlineLevel="1" ht="36" customHeight="1">
      <c r="A114" s="14" t="n">
        <v>32</v>
      </c>
      <c r="B114" s="14" t="inlineStr">
        <is>
          <t>东莞市诚成行供应链管理有限公司</t>
        </is>
      </c>
      <c r="C114" s="14" t="inlineStr">
        <is>
          <t>2026-04-01 至 2026-04-30</t>
        </is>
      </c>
      <c r="D114" s="14" t="inlineStr">
        <is>
          <t>030160010</t>
        </is>
      </c>
      <c r="E114" s="14" t="inlineStr">
        <is>
          <t>6970356160366</t>
        </is>
      </c>
      <c r="F114" s="14" t="inlineStr">
        <is>
          <t>参半旋风净白牙刷 双支装</t>
        </is>
      </c>
      <c r="G114" s="15" t="n">
        <v>89</v>
      </c>
      <c r="H114" s="17" t="n">
        <v>1228.2</v>
      </c>
      <c r="I114" s="14" t="inlineStr">
        <is>
          <t>支持合同客户和活动期内的总体销售；不能证明单店陈列。</t>
        </is>
      </c>
    </row>
    <row r="115" outlineLevel="1" ht="36" customHeight="1">
      <c r="A115" s="14" t="n">
        <v>33</v>
      </c>
      <c r="B115" s="14" t="inlineStr">
        <is>
          <t>东莞市诚成行供应链管理有限公司</t>
        </is>
      </c>
      <c r="C115" s="14" t="inlineStr">
        <is>
          <t>2026-04-01 至 2026-04-30</t>
        </is>
      </c>
      <c r="D115" s="14" t="inlineStr">
        <is>
          <t>020260002</t>
        </is>
      </c>
      <c r="E115" s="14" t="inlineStr">
        <is>
          <t>6970356165453</t>
        </is>
      </c>
      <c r="F115" s="14" t="inlineStr">
        <is>
          <t>参半益生菌漱口水-海洋薄荷250ml</t>
        </is>
      </c>
      <c r="G115" s="15" t="n">
        <v>23</v>
      </c>
      <c r="H115" s="17" t="n">
        <v>457.7</v>
      </c>
      <c r="I115" s="14" t="inlineStr">
        <is>
          <t>支持合同客户和活动期内的总体销售；不能证明单店陈列。</t>
        </is>
      </c>
    </row>
    <row r="116" outlineLevel="1" ht="36" customHeight="1">
      <c r="A116" s="14" t="n">
        <v>34</v>
      </c>
      <c r="B116" s="14" t="inlineStr">
        <is>
          <t>东莞市诚成行供应链管理有限公司</t>
        </is>
      </c>
      <c r="C116" s="14" t="inlineStr">
        <is>
          <t>2026-04-01 至 2026-04-30</t>
        </is>
      </c>
      <c r="D116" s="14" t="inlineStr">
        <is>
          <t>020260001</t>
        </is>
      </c>
      <c r="E116" s="14" t="inlineStr">
        <is>
          <t>6970356164548</t>
        </is>
      </c>
      <c r="F116" s="14" t="inlineStr">
        <is>
          <t>参半益生菌漱口水-阳光西柚250ml</t>
        </is>
      </c>
      <c r="G116" s="15" t="n">
        <v>41</v>
      </c>
      <c r="H116" s="17" t="n">
        <v>487.9</v>
      </c>
      <c r="I116" s="14" t="inlineStr">
        <is>
          <t>支持合同客户和活动期内的总体销售；不能证明单店陈列。</t>
        </is>
      </c>
    </row>
    <row r="117" outlineLevel="1" ht="36" customHeight="1">
      <c r="A117" s="14" t="n">
        <v>35</v>
      </c>
      <c r="B117" s="14" t="inlineStr">
        <is>
          <t>东莞市诚成行供应链管理有限公司</t>
        </is>
      </c>
      <c r="C117" s="14" t="inlineStr">
        <is>
          <t>2026-04-01 至 2026-04-30</t>
        </is>
      </c>
      <c r="D117" s="14" t="inlineStr">
        <is>
          <t>030160011</t>
        </is>
      </c>
      <c r="E117" s="14" t="inlineStr">
        <is>
          <t>6970356161721</t>
        </is>
      </c>
      <c r="F117" s="14" t="inlineStr">
        <is>
          <t>参半羽感宽护牙刷 双支装</t>
        </is>
      </c>
      <c r="G117" s="15" t="n">
        <v>43</v>
      </c>
      <c r="H117" s="17" t="n">
        <v>593.4</v>
      </c>
      <c r="I117" s="14" t="inlineStr">
        <is>
          <t>支持合同客户和活动期内的总体销售；不能证明单店陈列。</t>
        </is>
      </c>
    </row>
    <row r="118" outlineLevel="1" ht="36" customHeight="1">
      <c r="A118" s="14" t="n">
        <v>36</v>
      </c>
      <c r="B118" s="14" t="inlineStr">
        <is>
          <t>东莞市诚成行供应链管理有限公司</t>
        </is>
      </c>
      <c r="C118" s="14" t="inlineStr">
        <is>
          <t>2026-04-01 至 2026-04-30</t>
        </is>
      </c>
      <c r="D118" s="14" t="inlineStr">
        <is>
          <t>020260017</t>
        </is>
      </c>
      <c r="E118" s="14" t="inlineStr">
        <is>
          <t>6970356167846</t>
        </is>
      </c>
      <c r="F118" s="14" t="inlineStr">
        <is>
          <t>参半植清尤加利香味牙膏180g</t>
        </is>
      </c>
      <c r="G118" s="15" t="n">
        <v>149</v>
      </c>
      <c r="H118" s="17" t="n">
        <v>4842.5</v>
      </c>
      <c r="I118" s="14" t="inlineStr">
        <is>
          <t>支持合同客户和活动期内的总体销售；不能证明单店陈列。</t>
        </is>
      </c>
    </row>
    <row r="119" outlineLevel="1" ht="36" customHeight="1">
      <c r="A119" s="14" t="n">
        <v>37</v>
      </c>
      <c r="B119" s="14" t="inlineStr">
        <is>
          <t>东莞市诚成行供应链管理有限公司</t>
        </is>
      </c>
      <c r="C119" s="14" t="inlineStr">
        <is>
          <t>2026-04-01 至 2026-04-30</t>
        </is>
      </c>
      <c r="D119" s="14" t="inlineStr">
        <is>
          <t>020260025</t>
        </is>
      </c>
      <c r="E119" s="14" t="inlineStr">
        <is>
          <t>6970356162636</t>
        </is>
      </c>
      <c r="F119" s="14" t="inlineStr">
        <is>
          <t>参半专研清新美白牙膏100g</t>
        </is>
      </c>
      <c r="G119" s="15" t="n">
        <v>311</v>
      </c>
      <c r="H119" s="17" t="n">
        <v>12408.9</v>
      </c>
      <c r="I119" s="14" t="inlineStr">
        <is>
          <t>支持合同客户和活动期内的总体销售；不能证明单店陈列。</t>
        </is>
      </c>
    </row>
    <row r="120">
      <c r="A120" s="22" t="inlineStr">
        <is>
          <t>合计</t>
        </is>
      </c>
      <c r="B120" s="22" t="n"/>
      <c r="C120" s="22" t="n"/>
      <c r="D120" s="22" t="n"/>
      <c r="E120" s="22" t="n"/>
      <c r="F120" s="22" t="n"/>
      <c r="G120" s="23">
        <f>SUM(G84:G119)</f>
        <v/>
      </c>
      <c r="H120" s="23">
        <f>SUM(H84:H119)</f>
        <v/>
      </c>
      <c r="I120" s="22" t="n"/>
    </row>
    <row r="122" ht="24" customHeight="1">
      <c r="A122" s="11" t="inlineStr">
        <is>
          <t>五、21张照片文件哈希与原始元数据</t>
        </is>
      </c>
    </row>
    <row r="123" ht="42" customHeight="1">
      <c r="A123" s="12" t="inlineStr">
        <is>
          <t>技术检查用于发现完全重复、近似重复和元数据缺口；本包内未重复不等于历史活动从未复用。</t>
        </is>
      </c>
    </row>
    <row r="124" ht="30" customHeight="1">
      <c r="A124" s="13" t="inlineStr">
        <is>
          <t>文件名</t>
        </is>
      </c>
      <c r="B124" s="13" t="inlineStr">
        <is>
          <t>尺寸</t>
        </is>
      </c>
      <c r="C124" s="13" t="inlineStr">
        <is>
          <t>文件大小</t>
        </is>
      </c>
      <c r="D124" s="13" t="inlineStr">
        <is>
          <t>SHA-256</t>
        </is>
      </c>
      <c r="E124" s="13" t="inlineStr">
        <is>
          <t>pHash</t>
        </is>
      </c>
      <c r="F124" s="13" t="inlineStr">
        <is>
          <t>dHash</t>
        </is>
      </c>
      <c r="G124" s="13" t="inlineStr">
        <is>
          <t>EXIF时间</t>
        </is>
      </c>
      <c r="H124" s="13" t="inlineStr">
        <is>
          <t>GPS</t>
        </is>
      </c>
      <c r="I124" s="13" t="inlineStr">
        <is>
          <t>绑定合同门店</t>
        </is>
      </c>
      <c r="J124" s="13" t="inlineStr">
        <is>
          <t>状态</t>
        </is>
      </c>
    </row>
    <row r="125" outlineLevel="1" ht="66" customHeight="1">
      <c r="A125" s="14" t="inlineStr">
        <is>
          <t>1.厚街汉邦66广场家家欣.jpg</t>
        </is>
      </c>
      <c r="B125" s="14" t="inlineStr">
        <is>
          <t>1279×1706</t>
        </is>
      </c>
      <c r="C125" s="15" t="n">
        <v>491884</v>
      </c>
      <c r="D125" s="14" t="inlineStr">
        <is>
          <t>2bc5b681403c0d0e05ba6394449fd73b18e211370dbdfc3b1e3166678fb33aad</t>
        </is>
      </c>
      <c r="E125" s="14" t="inlineStr">
        <is>
          <t>bc40623f5dbacec0</t>
        </is>
      </c>
      <c r="F125" s="14" t="inlineStr">
        <is>
          <t>d00713d3935a4615</t>
        </is>
      </c>
      <c r="G125" s="14" t="n"/>
      <c r="H125" s="14" t="inlineStr">
        <is>
          <t>无</t>
        </is>
      </c>
      <c r="I125" s="14" t="inlineStr">
        <is>
          <t>66广场家家欣</t>
        </is>
      </c>
      <c r="J125" s="14" t="inlineStr">
        <is>
          <t>已绑定</t>
        </is>
      </c>
    </row>
    <row r="126" outlineLevel="1" ht="66" customHeight="1">
      <c r="A126" s="14" t="inlineStr">
        <is>
          <t>10-1挺拇指生活超市(横沥店).jpg</t>
        </is>
      </c>
      <c r="B126" s="14" t="inlineStr">
        <is>
          <t>1279×1706</t>
        </is>
      </c>
      <c r="C126" s="15" t="n">
        <v>767287</v>
      </c>
      <c r="D126" s="14" t="inlineStr">
        <is>
          <t>f12dd735b31b0e3be209767b443a5dde76af047139821839e1c380befa2f17ba</t>
        </is>
      </c>
      <c r="E126" s="14" t="inlineStr">
        <is>
          <t>db04a4716159b5bd</t>
        </is>
      </c>
      <c r="F126" s="14" t="inlineStr">
        <is>
          <t>6f67e7f77db14996</t>
        </is>
      </c>
      <c r="G126" s="14" t="n"/>
      <c r="H126" s="14" t="inlineStr">
        <is>
          <t>无</t>
        </is>
      </c>
      <c r="I126" s="14" t="inlineStr">
        <is>
          <t>挺拇指生活超市(横沥店)</t>
        </is>
      </c>
      <c r="J126" s="14" t="inlineStr">
        <is>
          <t>已绑定</t>
        </is>
      </c>
    </row>
    <row r="127" outlineLevel="1" ht="66" customHeight="1">
      <c r="A127" s="14" t="inlineStr">
        <is>
          <t>10-2挺拇指生活超市(横沥店).jpg</t>
        </is>
      </c>
      <c r="B127" s="14" t="inlineStr">
        <is>
          <t>1279×1706</t>
        </is>
      </c>
      <c r="C127" s="15" t="n">
        <v>872772</v>
      </c>
      <c r="D127" s="14" t="inlineStr">
        <is>
          <t>1d4f8b92c71131ea2dbe09e06cff7496a82afca0ba4d7fced7ab272948670884</t>
        </is>
      </c>
      <c r="E127" s="14" t="inlineStr">
        <is>
          <t>8ad1fd2beb28f404</t>
        </is>
      </c>
      <c r="F127" s="14" t="inlineStr">
        <is>
          <t>2b295955d4c6f43d</t>
        </is>
      </c>
      <c r="G127" s="14" t="n"/>
      <c r="H127" s="14" t="inlineStr">
        <is>
          <t>无</t>
        </is>
      </c>
      <c r="I127" s="14" t="inlineStr">
        <is>
          <t>挺拇指生活超市(横沥店)</t>
        </is>
      </c>
      <c r="J127" s="14" t="inlineStr">
        <is>
          <t>已绑定</t>
        </is>
      </c>
    </row>
    <row r="128" outlineLevel="1" ht="66" customHeight="1">
      <c r="A128" s="14" t="inlineStr">
        <is>
          <t>11.人人购物荟和超市.jpg</t>
        </is>
      </c>
      <c r="B128" s="14" t="inlineStr">
        <is>
          <t>4525×4496</t>
        </is>
      </c>
      <c r="C128" s="15" t="n">
        <v>3431541</v>
      </c>
      <c r="D128" s="14" t="inlineStr">
        <is>
          <t>7cf34a44ba05a348179771b0c36be20c19f6a0a76fb0c72fc6742c1070011f87</t>
        </is>
      </c>
      <c r="E128" s="14" t="inlineStr">
        <is>
          <t>df42b870745ec23c</t>
        </is>
      </c>
      <c r="F128" s="14" t="inlineStr">
        <is>
          <t>93939994d070786d</t>
        </is>
      </c>
      <c r="G128" s="14" t="n"/>
      <c r="H128" s="14" t="inlineStr">
        <is>
          <t>无</t>
        </is>
      </c>
      <c r="I128" s="14" t="inlineStr">
        <is>
          <t>人人购物广场荟和二店</t>
        </is>
      </c>
      <c r="J128" s="14" t="inlineStr">
        <is>
          <t>已绑定</t>
        </is>
      </c>
    </row>
    <row r="129" outlineLevel="1" ht="66" customHeight="1">
      <c r="A129" s="14" t="inlineStr">
        <is>
          <t>12.三乐购物广场(森扬商业广场店).jpg</t>
        </is>
      </c>
      <c r="B129" s="14" t="inlineStr">
        <is>
          <t>3028×4032</t>
        </is>
      </c>
      <c r="C129" s="15" t="n">
        <v>2609173</v>
      </c>
      <c r="D129" s="14" t="inlineStr">
        <is>
          <t>817e1b01120475a5f72ab39bce2334a3f0c5d2d7c66d02b0d02e648e70bca0e9</t>
        </is>
      </c>
      <c r="E129" s="14" t="inlineStr">
        <is>
          <t>854b6c27e570735c</t>
        </is>
      </c>
      <c r="F129" s="14" t="inlineStr">
        <is>
          <t>92b254949870783c</t>
        </is>
      </c>
      <c r="G129" s="14" t="n"/>
      <c r="H129" s="14" t="inlineStr">
        <is>
          <t>无</t>
        </is>
      </c>
      <c r="I129" s="14" t="inlineStr">
        <is>
          <t>三乐购物广场(森扬商业广场店)</t>
        </is>
      </c>
      <c r="J129" s="14" t="inlineStr">
        <is>
          <t>已绑定</t>
        </is>
      </c>
    </row>
    <row r="130" outlineLevel="1" ht="66" customHeight="1">
      <c r="A130" s="14" t="inlineStr">
        <is>
          <t>13.沙井九龙.jpg</t>
        </is>
      </c>
      <c r="B130" s="14" t="inlineStr">
        <is>
          <t>4000×3003</t>
        </is>
      </c>
      <c r="C130" s="15" t="n">
        <v>2762473</v>
      </c>
      <c r="D130" s="14" t="inlineStr">
        <is>
          <t>bea6157436ef7f0a45babca793b9fc67e06ac2beacd1b9eae36c44097b0e3888</t>
        </is>
      </c>
      <c r="E130" s="14" t="inlineStr">
        <is>
          <t>8ef4e07ec22cd664</t>
        </is>
      </c>
      <c r="F130" s="14" t="inlineStr">
        <is>
          <t>f031717971facaca</t>
        </is>
      </c>
      <c r="G130" s="14" t="n"/>
      <c r="H130" s="14" t="inlineStr">
        <is>
          <t>无</t>
        </is>
      </c>
      <c r="I130" s="14" t="inlineStr">
        <is>
          <t>沙井九龙</t>
        </is>
      </c>
      <c r="J130" s="14" t="inlineStr">
        <is>
          <t>已绑定</t>
        </is>
      </c>
    </row>
    <row r="131" outlineLevel="1" ht="66" customHeight="1">
      <c r="A131" s="14" t="inlineStr">
        <is>
          <t>14.润家连锁超市(美联购物中心店).jpg</t>
        </is>
      </c>
      <c r="B131" s="14" t="inlineStr">
        <is>
          <t>1280×1706</t>
        </is>
      </c>
      <c r="C131" s="15" t="n">
        <v>501429</v>
      </c>
      <c r="D131" s="14" t="inlineStr">
        <is>
          <t>0589b66788746499b68c9813b97ef042c2d1a239cd70be63056d57f4a9587fe5</t>
        </is>
      </c>
      <c r="E131" s="14" t="inlineStr">
        <is>
          <t>aecc9d1341633373</t>
        </is>
      </c>
      <c r="F131" s="14" t="inlineStr">
        <is>
          <t>5959455c59571389</t>
        </is>
      </c>
      <c r="G131" s="14" t="n"/>
      <c r="H131" s="14" t="inlineStr">
        <is>
          <t>无</t>
        </is>
      </c>
      <c r="I131" s="14" t="inlineStr">
        <is>
          <t>润家连锁超市(美联购物中心店)</t>
        </is>
      </c>
      <c r="J131" s="14" t="inlineStr">
        <is>
          <t>已绑定</t>
        </is>
      </c>
    </row>
    <row r="132" outlineLevel="1" ht="66" customHeight="1">
      <c r="A132" s="14" t="inlineStr">
        <is>
          <t>15。石岩百佳华.jpg</t>
        </is>
      </c>
      <c r="B132" s="14" t="inlineStr">
        <is>
          <t>1279×1706</t>
        </is>
      </c>
      <c r="C132" s="15" t="n">
        <v>501947</v>
      </c>
      <c r="D132" s="14" t="inlineStr">
        <is>
          <t>9845f5c8c808e139ae93bf4a163372cf5e54e7aeb39a8dfbfa1d0aa47e5dfca8</t>
        </is>
      </c>
      <c r="E132" s="14" t="inlineStr">
        <is>
          <t>d142a7f456b03e2b</t>
        </is>
      </c>
      <c r="F132" s="14" t="inlineStr">
        <is>
          <t>8186e2f0f070e4ee</t>
        </is>
      </c>
      <c r="G132" s="14" t="n"/>
      <c r="H132" s="14" t="inlineStr">
        <is>
          <t>无</t>
        </is>
      </c>
      <c r="I132" s="14" t="inlineStr">
        <is>
          <t>百佳华(石岩店)</t>
        </is>
      </c>
      <c r="J132" s="14" t="inlineStr">
        <is>
          <t>已绑定</t>
        </is>
      </c>
    </row>
    <row r="133" outlineLevel="1" ht="66" customHeight="1">
      <c r="A133" s="14" t="inlineStr">
        <is>
          <t>16.田心金正和.jpg</t>
        </is>
      </c>
      <c r="B133" s="14" t="inlineStr">
        <is>
          <t>1279×1706</t>
        </is>
      </c>
      <c r="C133" s="15" t="n">
        <v>762202</v>
      </c>
      <c r="D133" s="14" t="inlineStr">
        <is>
          <t>f00f97dc46a52568db5b292f7edb26bedfbc0d6f786e746acea6a56940a7c500</t>
        </is>
      </c>
      <c r="E133" s="14" t="inlineStr">
        <is>
          <t>eb89b563d205b296</t>
        </is>
      </c>
      <c r="F133" s="14" t="inlineStr">
        <is>
          <t>cf892d6f5927b134</t>
        </is>
      </c>
      <c r="G133" s="14" t="n"/>
      <c r="H133" s="14" t="inlineStr">
        <is>
          <t>无</t>
        </is>
      </c>
      <c r="I133" s="14" t="inlineStr">
        <is>
          <t>田心金正和</t>
        </is>
      </c>
      <c r="J133" s="14" t="inlineStr">
        <is>
          <t>已绑定</t>
        </is>
      </c>
    </row>
    <row r="134" outlineLevel="1" ht="66" customHeight="1">
      <c r="A134" s="14" t="inlineStr">
        <is>
          <t>17·荟和超市(莹展荟店).jpg</t>
        </is>
      </c>
      <c r="B134" s="14" t="inlineStr">
        <is>
          <t>1080×1920</t>
        </is>
      </c>
      <c r="C134" s="15" t="n">
        <v>420260</v>
      </c>
      <c r="D134" s="14" t="inlineStr">
        <is>
          <t>c6a9ac8b3b620adf996334ec432e725c45b4e302c481354caa4959a97c6f1ef1</t>
        </is>
      </c>
      <c r="E134" s="14" t="inlineStr">
        <is>
          <t>c0357e5c8cec3574</t>
        </is>
      </c>
      <c r="F134" s="14" t="inlineStr">
        <is>
          <t>0c32f4f0389eecaa</t>
        </is>
      </c>
      <c r="G134" s="14" t="n"/>
      <c r="H134" s="14" t="inlineStr">
        <is>
          <t>无</t>
        </is>
      </c>
      <c r="I134" s="14" t="inlineStr">
        <is>
          <t>荟和超市(莹展荟店)</t>
        </is>
      </c>
      <c r="J134" s="14" t="inlineStr">
        <is>
          <t>已绑定</t>
        </is>
      </c>
    </row>
    <row r="135" outlineLevel="1" ht="66" customHeight="1">
      <c r="A135" s="14" t="inlineStr">
        <is>
          <t>18.三乐购物广场(坦洲店).jpg</t>
        </is>
      </c>
      <c r="B135" s="14" t="inlineStr">
        <is>
          <t>1281×1706</t>
        </is>
      </c>
      <c r="C135" s="15" t="n">
        <v>511770</v>
      </c>
      <c r="D135" s="14" t="inlineStr">
        <is>
          <t>61f0c8113bfbfafd9cc02a2ae69881cb8cc456e911c32c78ba618ab3467153fe</t>
        </is>
      </c>
      <c r="E135" s="14" t="inlineStr">
        <is>
          <t>ff181159c160e0ff</t>
        </is>
      </c>
      <c r="F135" s="14" t="inlineStr">
        <is>
          <t>a3eb23bb1f3b61e7</t>
        </is>
      </c>
      <c r="G135" s="14" t="n"/>
      <c r="H135" s="14" t="inlineStr">
        <is>
          <t>无</t>
        </is>
      </c>
      <c r="I135" s="14" t="inlineStr">
        <is>
          <t>三乐购物广场(坦洲店)</t>
        </is>
      </c>
      <c r="J135" s="14" t="inlineStr">
        <is>
          <t>已绑定</t>
        </is>
      </c>
    </row>
    <row r="136" outlineLevel="1" ht="66" customHeight="1">
      <c r="A136" s="14" t="inlineStr">
        <is>
          <t>19.福源大康惠.jpg</t>
        </is>
      </c>
      <c r="B136" s="14" t="inlineStr">
        <is>
          <t>1279×1706</t>
        </is>
      </c>
      <c r="C136" s="15" t="n">
        <v>760801</v>
      </c>
      <c r="D136" s="14" t="inlineStr">
        <is>
          <t>a83b7852588f47ff9fc8c43791eab025aa930eb7efa97d4da13cd54024be754c</t>
        </is>
      </c>
      <c r="E136" s="14" t="inlineStr">
        <is>
          <t>944b3b3cb4a64e65</t>
        </is>
      </c>
      <c r="F136" s="14" t="inlineStr">
        <is>
          <t>c38712d6c6f8b683</t>
        </is>
      </c>
      <c r="G136" s="14" t="n"/>
      <c r="H136" s="14" t="inlineStr">
        <is>
          <t>无</t>
        </is>
      </c>
      <c r="I136" s="14" t="inlineStr">
        <is>
          <t>大康惠福源商业广场</t>
        </is>
      </c>
      <c r="J136" s="14" t="inlineStr">
        <is>
          <t>已绑定</t>
        </is>
      </c>
    </row>
    <row r="137" outlineLevel="1" ht="66" customHeight="1">
      <c r="A137" s="14" t="inlineStr">
        <is>
          <t>2.松岗百佳华.jpg</t>
        </is>
      </c>
      <c r="B137" s="14" t="inlineStr">
        <is>
          <t>3024×3759</t>
        </is>
      </c>
      <c r="C137" s="15" t="n">
        <v>2775745</v>
      </c>
      <c r="D137" s="14" t="inlineStr">
        <is>
          <t>12b86e89b2996c4ee22ce55cfa65249237f10c2651963f0a74d6748f6fbdf29f</t>
        </is>
      </c>
      <c r="E137" s="14" t="inlineStr">
        <is>
          <t>d45ed0c3d0cf9847</t>
        </is>
      </c>
      <c r="F137" s="14" t="inlineStr">
        <is>
          <t>e6fcd3fadbd3d3f6</t>
        </is>
      </c>
      <c r="G137" s="14" t="n"/>
      <c r="H137" s="14" t="inlineStr">
        <is>
          <t>无</t>
        </is>
      </c>
      <c r="I137" s="14" t="inlineStr">
        <is>
          <t>百佳华松岗店</t>
        </is>
      </c>
      <c r="J137" s="14" t="inlineStr">
        <is>
          <t>已绑定</t>
        </is>
      </c>
    </row>
    <row r="138" outlineLevel="1" ht="66" customHeight="1">
      <c r="A138" s="14" t="inlineStr">
        <is>
          <t>20.好多宝精选超市(龙眼市场店).jpg</t>
        </is>
      </c>
      <c r="B138" s="14" t="inlineStr">
        <is>
          <t>1200×1600</t>
        </is>
      </c>
      <c r="C138" s="15" t="n">
        <v>380438</v>
      </c>
      <c r="D138" s="14" t="inlineStr">
        <is>
          <t>a2bc6e9f7833a6b2dace149843649c6c2a6b5988e04def5a9bc64d4b2b8740fc</t>
        </is>
      </c>
      <c r="E138" s="14" t="inlineStr">
        <is>
          <t>d58198ddeb4063e3</t>
        </is>
      </c>
      <c r="F138" s="14" t="inlineStr">
        <is>
          <t>dcebad3db48cd0b3</t>
        </is>
      </c>
      <c r="G138" s="14" t="n"/>
      <c r="H138" s="14" t="inlineStr">
        <is>
          <t>无</t>
        </is>
      </c>
      <c r="I138" s="14" t="inlineStr">
        <is>
          <t>好多宝精选超市(龙眼市场店)</t>
        </is>
      </c>
      <c r="J138" s="14" t="inlineStr">
        <is>
          <t>已绑定</t>
        </is>
      </c>
    </row>
    <row r="139" outlineLevel="1" ht="66" customHeight="1">
      <c r="A139" s="14" t="inlineStr">
        <is>
          <t>3.公明百佳华.jpg</t>
        </is>
      </c>
      <c r="B139" s="14" t="inlineStr">
        <is>
          <t>1279×1706</t>
        </is>
      </c>
      <c r="C139" s="15" t="n">
        <v>676711</v>
      </c>
      <c r="D139" s="14" t="inlineStr">
        <is>
          <t>334f7fe95b8f70a59cf89c0e2b65a47ba1a19c70d8b1695a51ecd59bdce07463</t>
        </is>
      </c>
      <c r="E139" s="14" t="inlineStr">
        <is>
          <t>d909f0b55d483c73</t>
        </is>
      </c>
      <c r="F139" s="14" t="inlineStr">
        <is>
          <t>d66f8ba5303236b6</t>
        </is>
      </c>
      <c r="G139" s="14" t="n"/>
      <c r="H139" s="14" t="inlineStr">
        <is>
          <t>无</t>
        </is>
      </c>
      <c r="I139" s="14" t="inlineStr">
        <is>
          <t>百佳华百货（公明店）</t>
        </is>
      </c>
      <c r="J139" s="14" t="inlineStr">
        <is>
          <t>已绑定</t>
        </is>
      </c>
    </row>
    <row r="140" outlineLevel="1" ht="66" customHeight="1">
      <c r="A140" s="14" t="inlineStr">
        <is>
          <t>4.新桥百佳华.jpg</t>
        </is>
      </c>
      <c r="B140" s="14" t="inlineStr">
        <is>
          <t>600×800</t>
        </is>
      </c>
      <c r="C140" s="15" t="n">
        <v>123308</v>
      </c>
      <c r="D140" s="14" t="inlineStr">
        <is>
          <t>df7c36d02303fc3b8df13e63888d0dcfed56860ca91d2a86501f67168d32c3ff</t>
        </is>
      </c>
      <c r="E140" s="14" t="inlineStr">
        <is>
          <t>d21e05732f4ee5c4</t>
        </is>
      </c>
      <c r="F140" s="14" t="inlineStr">
        <is>
          <t>98fe676761d2e2c1</t>
        </is>
      </c>
      <c r="G140" s="14" t="n"/>
      <c r="H140" s="14" t="inlineStr">
        <is>
          <t>无</t>
        </is>
      </c>
      <c r="I140" s="14" t="inlineStr">
        <is>
          <t>百佳华佳漾汇(新桥店)</t>
        </is>
      </c>
      <c r="J140" s="14" t="inlineStr">
        <is>
          <t>已绑定</t>
        </is>
      </c>
    </row>
    <row r="141" outlineLevel="1" ht="66" customHeight="1">
      <c r="A141" s="14" t="inlineStr">
        <is>
          <t>5.华都超市(东坑大道北店).jpg</t>
        </is>
      </c>
      <c r="B141" s="14" t="inlineStr">
        <is>
          <t>1081×1440</t>
        </is>
      </c>
      <c r="C141" s="15" t="n">
        <v>439863</v>
      </c>
      <c r="D141" s="14" t="inlineStr">
        <is>
          <t>61e7f18669fe68e0686638d9bf53e6e488e8ce9ccb78192cdb6647915337dad0</t>
        </is>
      </c>
      <c r="E141" s="14" t="inlineStr">
        <is>
          <t>bb17807f857c84c9</t>
        </is>
      </c>
      <c r="F141" s="14" t="inlineStr">
        <is>
          <t>222b277549a9aded</t>
        </is>
      </c>
      <c r="G141" s="14" t="n"/>
      <c r="H141" s="14" t="inlineStr">
        <is>
          <t>无</t>
        </is>
      </c>
      <c r="I141" s="14" t="inlineStr">
        <is>
          <t>华都超市(东坑大道北店)</t>
        </is>
      </c>
      <c r="J141" s="14" t="inlineStr">
        <is>
          <t>已绑定</t>
        </is>
      </c>
    </row>
    <row r="142" outlineLevel="1" ht="66" customHeight="1">
      <c r="A142" s="14" t="inlineStr">
        <is>
          <t>6.东浦金正和.jpg</t>
        </is>
      </c>
      <c r="B142" s="14" t="inlineStr">
        <is>
          <t>1080×1920</t>
        </is>
      </c>
      <c r="C142" s="15" t="n">
        <v>1084548</v>
      </c>
      <c r="D142" s="14" t="inlineStr">
        <is>
          <t>5443f87d47fe6646e5da357f0e53a41c8934f58255619fe749eae9b7ad9596a0</t>
        </is>
      </c>
      <c r="E142" s="14" t="inlineStr">
        <is>
          <t>dfc1434a3552174f</t>
        </is>
      </c>
      <c r="F142" s="14" t="inlineStr">
        <is>
          <t>13636953d3f07070</t>
        </is>
      </c>
      <c r="G142" s="14" t="n"/>
      <c r="H142" s="14" t="inlineStr">
        <is>
          <t>无</t>
        </is>
      </c>
      <c r="I142" s="14" t="inlineStr">
        <is>
          <t>金大福(东浦金正和总店)</t>
        </is>
      </c>
      <c r="J142" s="14" t="inlineStr">
        <is>
          <t>已绑定</t>
        </is>
      </c>
    </row>
    <row r="143" outlineLevel="1" ht="66" customHeight="1">
      <c r="A143" s="14" t="inlineStr">
        <is>
          <t>7.宝安优城店.jpg</t>
        </is>
      </c>
      <c r="B143" s="14" t="inlineStr">
        <is>
          <t>1081×1440</t>
        </is>
      </c>
      <c r="C143" s="15" t="n">
        <v>434133</v>
      </c>
      <c r="D143" s="14" t="inlineStr">
        <is>
          <t>80ff9c92a5eb1b780e9b0002a5d99c5239d71f592406992133c1e49e77e5834f</t>
        </is>
      </c>
      <c r="E143" s="14" t="inlineStr">
        <is>
          <t>d04ea67a36654e71</t>
        </is>
      </c>
      <c r="F143" s="14" t="inlineStr">
        <is>
          <t>c6866ee6fef8e8e9</t>
        </is>
      </c>
      <c r="G143" s="14" t="n"/>
      <c r="H143" s="14" t="inlineStr">
        <is>
          <t>无</t>
        </is>
      </c>
      <c r="I143" s="14" t="inlineStr">
        <is>
          <t>古原千禧(U·ONE 优城店)</t>
        </is>
      </c>
      <c r="J143" s="14" t="inlineStr">
        <is>
          <t>已绑定</t>
        </is>
      </c>
    </row>
    <row r="144" outlineLevel="1" ht="66" customHeight="1">
      <c r="A144" s="14" t="inlineStr">
        <is>
          <t>8.虎门赤岗家家欣.jpg</t>
        </is>
      </c>
      <c r="B144" s="14" t="inlineStr">
        <is>
          <t>600×800</t>
        </is>
      </c>
      <c r="C144" s="15" t="n">
        <v>129411</v>
      </c>
      <c r="D144" s="14" t="inlineStr">
        <is>
          <t>a397af48c29cc108f54a66ac21d7aec414e79f20838ee3bb2e4851619d1f9e0a</t>
        </is>
      </c>
      <c r="E144" s="14" t="inlineStr">
        <is>
          <t>8d45457f6421a5bd</t>
        </is>
      </c>
      <c r="F144" s="14" t="inlineStr">
        <is>
          <t>1a232703a29cf0b4</t>
        </is>
      </c>
      <c r="G144" s="14" t="n"/>
      <c r="H144" s="14" t="inlineStr">
        <is>
          <t>无</t>
        </is>
      </c>
      <c r="I144" s="14" t="inlineStr">
        <is>
          <t>虎门家家欣</t>
        </is>
      </c>
      <c r="J144" s="14" t="inlineStr">
        <is>
          <t>已绑定</t>
        </is>
      </c>
    </row>
    <row r="145" outlineLevel="1" ht="66" customHeight="1">
      <c r="A145" s="14" t="inlineStr">
        <is>
          <t>9.花都宜多.jpg</t>
        </is>
      </c>
      <c r="B145" s="14" t="inlineStr">
        <is>
          <t>1279×1706</t>
        </is>
      </c>
      <c r="C145" s="15" t="n">
        <v>830839</v>
      </c>
      <c r="D145" s="14" t="inlineStr">
        <is>
          <t>37a3bb4647855bff6147f370f02897142fb739c3b1f015546c9701327ca79c87</t>
        </is>
      </c>
      <c r="E145" s="14" t="inlineStr">
        <is>
          <t>c413a95f3c3c3173</t>
        </is>
      </c>
      <c r="F145" s="14" t="inlineStr">
        <is>
          <t>163bb9fb5aecf8d4</t>
        </is>
      </c>
      <c r="G145" s="14" t="n"/>
      <c r="H145" s="14" t="inlineStr">
        <is>
          <t>无</t>
        </is>
      </c>
      <c r="I145" s="14" t="inlineStr">
        <is>
          <t>花都宜多</t>
        </is>
      </c>
      <c r="J145" s="14" t="inlineStr">
        <is>
          <t>已绑定</t>
        </is>
      </c>
    </row>
    <row r="147" ht="24" customHeight="1">
      <c r="A147" s="11" t="inlineStr">
        <is>
          <t>1.4.1 七项分析维度</t>
        </is>
      </c>
    </row>
    <row r="148" ht="42" customHeight="1">
      <c r="A148" s="12" t="inlineStr">
        <is>
          <t>七个维度分别说明读取证据、实际检查、判定依据和能力边界；没有发票、预算或历史照片库时不会默认判为通过。</t>
        </is>
      </c>
    </row>
    <row r="149" ht="30" customHeight="1">
      <c r="A149" s="13" t="inlineStr">
        <is>
          <t>序号</t>
        </is>
      </c>
      <c r="B149" s="13" t="inlineStr">
        <is>
          <t>分析维度</t>
        </is>
      </c>
      <c r="C149" s="13" t="inlineStr">
        <is>
          <t>检测内容</t>
        </is>
      </c>
      <c r="E149" s="13" t="inlineStr">
        <is>
          <t>1.4.1判定标准</t>
        </is>
      </c>
      <c r="G149" s="13" t="inlineStr">
        <is>
          <t>本次读取文件/证据</t>
        </is>
      </c>
      <c r="I149" s="13" t="inlineStr">
        <is>
          <t>实际执行检查</t>
        </is>
      </c>
      <c r="K149" s="13" t="inlineStr">
        <is>
          <t>状态</t>
        </is>
      </c>
      <c r="L149" s="13" t="inlineStr">
        <is>
          <t>判定依据及能力边界/补证</t>
        </is>
      </c>
    </row>
    <row r="150" ht="108" customHeight="1">
      <c r="A150" s="14" t="inlineStr">
        <is>
          <t>1</t>
        </is>
      </c>
      <c r="B150" s="14" t="inlineStr">
        <is>
          <t>真实性验证</t>
        </is>
      </c>
      <c r="C150" s="14" t="inlineStr">
        <is>
          <t>文件是否被篡改/伪造</t>
        </is>
      </c>
      <c r="E150" s="14" t="inlineStr">
        <is>
          <t>EXIF信息完整性、图像指纹比对、水印一致性、数字签名验证</t>
        </is>
      </c>
      <c r="G150" s="14" t="inlineStr">
        <is>
          <t>诚成4月堆头陈列-经销商签订促销合同.pdf；2026年4月销售明细20260509164207765.xlsx；现场照片21张</t>
        </is>
      </c>
      <c r="I150" s="14" t="inlineStr">
        <is>
          <t>固定源文件SHA-256；对照片计算dHash；读取EXIF、画面日期地点水印，并逐店检查水印与合同门店的一致性。</t>
        </is>
      </c>
      <c r="K150" s="20" t="inlineStr">
        <is>
          <t>部分验证</t>
        </is>
      </c>
      <c r="L150" s="14" t="inlineStr">
        <is>
          <t>判定依据：21张照片中EXIF时间0张、GPS 0张；完全重复组0、pHash近似候选0组。未提供数字签名或像素级篡改鉴定。
能力边界/补证：画面水印是可见线索，不是独立可信定位；哈希不能证明提交前未修改。需原始照片、可信时间/GPS或专业取证。</t>
        </is>
      </c>
    </row>
    <row r="151" ht="108" customHeight="1">
      <c r="A151" s="14" t="inlineStr">
        <is>
          <t>2</t>
        </is>
      </c>
      <c r="B151" s="14" t="inlineStr">
        <is>
          <t>真实性验证</t>
        </is>
      </c>
      <c r="C151" s="14" t="inlineStr">
        <is>
          <t>照片是否为现场实拍</t>
        </is>
      </c>
      <c r="E151" s="14" t="inlineStr">
        <is>
          <t>GPS坐标与申报门店匹配、拍摄时间在活动周期内、设备信息一致</t>
        </is>
      </c>
      <c r="G151" s="14" t="inlineStr">
        <is>
          <t>合同20家门店与21张现场照片</t>
        </is>
      </c>
      <c r="I151" s="14" t="inlineStr">
        <is>
          <t>逐店读取画面可见日期和地点，比较活动期间、合同门店名称/地点及陈列标准；不从文件名推断日期或GPS。</t>
        </is>
      </c>
      <c r="K151" s="20" t="inlineStr">
        <is>
          <t>部分通过</t>
        </is>
      </c>
      <c r="L151" s="14" t="inlineStr">
        <is>
          <t>判定依据：活动期匹配19/20家，门店地点匹配或兼容15/20家，陈列可确认19/20家；综合15/20家通过、5家补证。GPS与设备信息均不可用。
能力边界/补证：6家存在日期、地点或陈列证据缺口；需原始照片、可信定位/时间或正式门店地址映射。</t>
        </is>
      </c>
    </row>
    <row r="152" ht="108" customHeight="1">
      <c r="A152" s="14" t="inlineStr">
        <is>
          <t>3</t>
        </is>
      </c>
      <c r="B152" s="14" t="inlineStr">
        <is>
          <t>真实性验证</t>
        </is>
      </c>
      <c r="C152" s="14" t="inlineStr">
        <is>
          <t>文件是否重复使用</t>
        </is>
      </c>
      <c r="E152" s="14" t="inlineStr">
        <is>
          <t>感知哈希（pHash）去重、跨活动文件复用检测</t>
        </is>
      </c>
      <c r="G152" s="14" t="inlineStr">
        <is>
          <t>现场照片21张</t>
        </is>
      </c>
      <c r="I152" s="14" t="inlineStr">
        <is>
          <t>用SHA-256查完全重复，用dHash筛查视觉相同候选，并检查同一照片是否绑定多个合同门店。</t>
        </is>
      </c>
      <c r="K152" s="20" t="inlineStr">
        <is>
          <t>部分验证</t>
        </is>
      </c>
      <c r="L152" s="14" t="inlineStr">
        <is>
          <t>判定依据：本包完全重复组0、pHash近似候选0组；没有跨活动历史指纹库。
能力边界/补证：“本包未发现重复”不等于“历史活动从未使用”；跨活动复用必须接入历史SHA/pHash库。</t>
        </is>
      </c>
    </row>
    <row r="153" ht="108" customHeight="1">
      <c r="A153" s="14" t="inlineStr">
        <is>
          <t>4</t>
        </is>
      </c>
      <c r="B153" s="14" t="inlineStr">
        <is>
          <t>合规性审查</t>
        </is>
      </c>
      <c r="C153" s="14" t="inlineStr">
        <is>
          <t>文件格式是否符合要求</t>
        </is>
      </c>
      <c r="E153" s="14" t="inlineStr">
        <is>
          <t>文件类型、分辨率、大小是否在允许范围内</t>
        </is>
      </c>
      <c r="G153" s="14" t="inlineStr">
        <is>
          <t>诚成4月堆头陈列-经销商签订促销合同.pdf；2026年4月销售明细20260509164207765.xlsx；现场照片21张</t>
        </is>
      </c>
      <c r="I153" s="14" t="inlineStr">
        <is>
          <t>确认PDF、XLSX、JPG均可打开；记录页数、工作表、照片分辨率和文件大小；ZIP入口执行安全大小限制。</t>
        </is>
      </c>
      <c r="K153" s="20" t="inlineStr">
        <is>
          <t>部分验证</t>
        </is>
      </c>
      <c r="L153" s="14" t="inlineStr">
        <is>
          <t>判定依据：收到23个文件：合同PDF 1份、销售Excel 1份、JPG 21张；照片宽600–4525像素、高800–4496像素，大小123308–3431541字节。业务未提供允许阈值。
能力边界/补证：已证明可读性和实际尺寸，不能在没有最低分辨率/大小标准时宣称完全合规。</t>
        </is>
      </c>
    </row>
    <row r="154" ht="108" customHeight="1">
      <c r="A154" s="14" t="inlineStr">
        <is>
          <t>5</t>
        </is>
      </c>
      <c r="B154" s="14" t="inlineStr">
        <is>
          <t>合规性审查</t>
        </is>
      </c>
      <c r="C154" s="14" t="inlineStr">
        <is>
          <t>费用金额是否合理</t>
        </is>
      </c>
      <c r="E154" s="14" t="inlineStr">
        <is>
          <t>费用明细金额与活动预算比较，偏差超过30%标记异常</t>
        </is>
      </c>
      <c r="G154" s="14" t="inlineStr">
        <is>
          <t>诚成4月堆头陈列-经销商签订促销合同.pdf；申报金额</t>
        </is>
      </c>
      <c r="I154" s="14" t="inlineStr">
        <is>
          <t>以本次唯一可得的合同约定金额作为合同口径，比较申报金额；另按逐店证据计算支持金额。</t>
        </is>
      </c>
      <c r="K154" s="20" t="inlineStr">
        <is>
          <t>部分验证</t>
        </is>
      </c>
      <c r="L154" s="14" t="inlineStr">
        <is>
          <t>判定依据：合同口径20000.00元，申报20000.00元，差额0.00元（0.00%，未超过30%）；但独立活动预算表未提交。逐店证据仅支持15000.00元。
能力边界/补证：合同金额是现有口径，不等同于独立预算验证；若制度要求30%预算规则，需补充批准预算。</t>
        </is>
      </c>
    </row>
    <row r="155" ht="108" customHeight="1">
      <c r="A155" s="14" t="inlineStr">
        <is>
          <t>6</t>
        </is>
      </c>
      <c r="B155" s="14" t="inlineStr">
        <is>
          <t>合规性审查</t>
        </is>
      </c>
      <c r="C155" s="14" t="inlineStr">
        <is>
          <t>票据信息是否完整</t>
        </is>
      </c>
      <c r="E155" s="14" t="inlineStr">
        <is>
          <t>发票代码、号码、金额、日期、购销方信息完整性</t>
        </is>
      </c>
      <c r="G155" s="14" t="inlineStr">
        <is>
          <t>本包未提交发票</t>
        </is>
      </c>
      <c r="I155" s="14" t="inlineStr">
        <is>
          <t>盘点文件类型，未把合同、销售Excel或现场照片误认作发票。</t>
        </is>
      </c>
      <c r="K155" s="24" t="inlineStr">
        <is>
          <t>本案未触发</t>
        </is>
      </c>
      <c r="L155" s="14" t="inlineStr">
        <is>
          <t>判定依据：没有发票代码、号码、金额、日期和购销方字段可检查。
能力边界/补证：如堆头付款制度要求发票，应改判为证据不足并补交发票。</t>
        </is>
      </c>
    </row>
    <row r="156" ht="108" customHeight="1">
      <c r="A156" s="14" t="inlineStr">
        <is>
          <t>7</t>
        </is>
      </c>
      <c r="B156" s="14" t="inlineStr">
        <is>
          <t>合规性审查</t>
        </is>
      </c>
      <c r="C156" s="14" t="inlineStr">
        <is>
          <t>合同条款是否匹配</t>
        </is>
      </c>
      <c r="E156" s="14" t="inlineStr">
        <is>
          <t>合同约定金额不低于发票总额，付款周期与开票日期一致</t>
        </is>
      </c>
      <c r="G156" s="14" t="inlineStr">
        <is>
          <t>诚成4月堆头陈列-经销商签订促销合同.pdf；销售Excel；逐店照片</t>
        </is>
      </c>
      <c r="I156" s="14" t="inlineStr">
        <is>
          <t>读取合同活动期、20家门店、单店1000元、陈列标准和总金额，并逐店比较照片；同时检查销售期间。</t>
        </is>
      </c>
      <c r="K156" s="20" t="inlineStr">
        <is>
          <t>部分通过</t>
        </is>
      </c>
      <c r="L156" s="14" t="inlineStr">
        <is>
          <t>判定依据：合同20家×1000.00元=20000.00元与申报一致；逐店证据15家通过、5家补证。未提交发票，合同付款周期与开票日期无法比较。
能力边界/补证：合同执行条款只完成部分验证；5家补证，付款周期/开票一致性需在有发票后再检查。</t>
        </is>
      </c>
    </row>
    <row r="158" ht="24" customHeight="1">
      <c r="A158" s="11" t="inlineStr">
        <is>
          <t>异常、影响与补证清单</t>
        </is>
      </c>
    </row>
    <row r="159" ht="42" customHeight="1">
      <c r="A159" s="12" t="inlineStr">
        <is>
          <t>高风险影响数量、金额或核心证据；中风险表示映射、身份、日期或真实性证据仍需说明。</t>
        </is>
      </c>
    </row>
    <row r="160" ht="30" customHeight="1">
      <c r="A160" s="13" t="inlineStr">
        <is>
          <t>序号</t>
        </is>
      </c>
      <c r="B160" s="13" t="inlineStr">
        <is>
          <t>等级</t>
        </is>
      </c>
      <c r="C160" s="13" t="inlineStr">
        <is>
          <t>异常代码</t>
        </is>
      </c>
      <c r="E160" s="13" t="inlineStr">
        <is>
          <t>发现及来源</t>
        </is>
      </c>
      <c r="I160" s="13" t="inlineStr">
        <is>
          <t>金额/结论影响</t>
        </is>
      </c>
      <c r="K160" s="13" t="inlineStr">
        <is>
          <t>补证或处理建议</t>
        </is>
      </c>
    </row>
    <row r="161" ht="108" customHeight="1">
      <c r="A161" s="26" t="n">
        <v>1</v>
      </c>
      <c r="B161" s="26" t="inlineStr">
        <is>
          <t>高</t>
        </is>
      </c>
      <c r="C161" s="26" t="inlineStr">
        <is>
          <t>STORE_DISPLAY_EVIDENCE_INCOMPLETE</t>
        </is>
      </c>
      <c r="E161" s="26" t="inlineStr">
        <is>
          <t>合同第1家“66广场家家欣”未通过：门店未匹配。
来源：1.厚街汉邦66广场家家欣.jpg</t>
        </is>
      </c>
      <c r="I161" s="26" t="inlineStr">
        <is>
          <t>暂不支持该店1000.00元费用。</t>
        </is>
      </c>
      <c r="K161" s="26" t="inlineStr">
        <is>
          <t>补充活动期内可见“66广场家家欣”门店身份的照片，或提供汉邦广场与合同门店之间的权威地址/更名映射。</t>
        </is>
      </c>
    </row>
    <row r="162" ht="108" customHeight="1">
      <c r="A162" s="26" t="n">
        <v>2</v>
      </c>
      <c r="B162" s="26" t="inlineStr">
        <is>
          <t>高</t>
        </is>
      </c>
      <c r="C162" s="26" t="inlineStr">
        <is>
          <t>STORE_DISPLAY_EVIDENCE_INCOMPLETE</t>
        </is>
      </c>
      <c r="E162" s="26" t="inlineStr">
        <is>
          <t>合同第6家“金大福(东浦金正和总店)”未通过：期间未通过、门店未匹配、陈列标准未通过。
来源：6.东浦金正和.jpg</t>
        </is>
      </c>
      <c r="I162" s="26" t="inlineStr">
        <is>
          <t>暂不支持该店1000.00元费用。</t>
        </is>
      </c>
      <c r="K162" s="26" t="inlineStr">
        <is>
          <t>补充带有可见日期及门店/地点身份的活动期原图。；补充能够完整展示1平方米堆头或至少4个纵向陈列层级/排面的广角照片。</t>
        </is>
      </c>
    </row>
    <row r="163" ht="108" customHeight="1">
      <c r="A163" s="26" t="n">
        <v>3</v>
      </c>
      <c r="B163" s="26" t="inlineStr">
        <is>
          <t>高</t>
        </is>
      </c>
      <c r="C163" s="26" t="inlineStr">
        <is>
          <t>STORE_DISPLAY_EVIDENCE_INCOMPLETE</t>
        </is>
      </c>
      <c r="E163" s="26" t="inlineStr">
        <is>
          <t>合同第10家“挺拇指生活超市(横沥店)”未通过：门店未匹配。
来源：10-1挺拇指生活超市(横沥店).jpg、10-2挺拇指生活超市(横沥店).jpg</t>
        </is>
      </c>
      <c r="I163" s="26" t="inlineStr">
        <is>
          <t>暂不支持该店1000.00元费用。</t>
        </is>
      </c>
      <c r="K163" s="26" t="inlineStr">
        <is>
          <t>提供南铭购物乐园与挺拇指生活超市(横沥店)之间的权威更名/地址映射，或替换为活动期内可见合同门店身份的照片。</t>
        </is>
      </c>
    </row>
    <row r="164" ht="108" customHeight="1">
      <c r="A164" s="26" t="n">
        <v>4</v>
      </c>
      <c r="B164" s="26" t="inlineStr">
        <is>
          <t>高</t>
        </is>
      </c>
      <c r="C164" s="26" t="inlineStr">
        <is>
          <t>STORE_DISPLAY_EVIDENCE_INCOMPLETE</t>
        </is>
      </c>
      <c r="E164" s="26" t="inlineStr">
        <is>
          <t>合同第14家“润家连锁超市(美联购物中心店)”未通过：门店未匹配。
来源：14.润家连锁超市(美联购物中心店).jpg</t>
        </is>
      </c>
      <c r="I164" s="26" t="inlineStr">
        <is>
          <t>暂不支持该店1000.00元费用。</t>
        </is>
      </c>
      <c r="K164" s="26" t="inlineStr">
        <is>
          <t>提供证明水印地点属于合同门店经营场所的权威地址映射，或替换为活动期内可见润家连锁超市(美联购物中心店)身份的照片。</t>
        </is>
      </c>
    </row>
    <row r="165" ht="108" customHeight="1">
      <c r="A165" s="26" t="n">
        <v>5</v>
      </c>
      <c r="B165" s="26" t="inlineStr">
        <is>
          <t>高</t>
        </is>
      </c>
      <c r="C165" s="26" t="inlineStr">
        <is>
          <t>STORE_DISPLAY_EVIDENCE_INCOMPLETE</t>
        </is>
      </c>
      <c r="E165" s="26" t="inlineStr">
        <is>
          <t>合同第15家“百佳华(石岩店)”未通过：门店未匹配。
来源：15。石岩百佳华.jpg</t>
        </is>
      </c>
      <c r="I165" s="26" t="inlineStr">
        <is>
          <t>暂不支持该店1000.00元费用。</t>
        </is>
      </c>
      <c r="K165" s="26" t="inlineStr">
        <is>
          <t>补充可见百佳华(石岩店)招牌的照片，或提供佳华豪苑与合同门店之间的权威地址映射。</t>
        </is>
      </c>
    </row>
    <row r="166" ht="108" customHeight="1">
      <c r="A166" s="20" t="n">
        <v>6</v>
      </c>
      <c r="B166" s="20" t="inlineStr">
        <is>
          <t>中</t>
        </is>
      </c>
      <c r="C166" s="20" t="inlineStr">
        <is>
          <t>PHOTO_ORIGINAL_METADATA_ABSENT</t>
        </is>
      </c>
      <c r="E166" s="20" t="inlineStr">
        <is>
          <t>照片缺少可用的EXIF拍摄时间或GPS，主要依赖画面水印。</t>
        </is>
      </c>
      <c r="I166" s="20" t="inlineStr">
        <is>
          <t>无法从原始文件元数据独立验证拍摄时空。</t>
        </is>
      </c>
      <c r="K166" s="20" t="inlineStr">
        <is>
          <t>保留原始拍摄文件，或补充平台定位/签到记录。</t>
        </is>
      </c>
    </row>
    <row r="167" ht="108" customHeight="1">
      <c r="A167" s="20" t="n">
        <v>7</v>
      </c>
      <c r="B167" s="20" t="inlineStr">
        <is>
          <t>中</t>
        </is>
      </c>
      <c r="C167" s="20" t="inlineStr">
        <is>
          <t>SALES_DATA_NOT_STORE_LEVEL</t>
        </is>
      </c>
      <c r="E167" s="20" t="inlineStr">
        <is>
          <t>销售Excel为经销商汇总，不能拆分到合同中的各门店。
来源：C:\Users\EDY\Desktop\新建文件夹\offline-activity-audit\input\.prepared\20260814-two-sheet-001\sources\promotional_display\核销资料-诚成26年4月【堆头20家】\2026年4月销售明细20260509164207765.xlsx</t>
        </is>
      </c>
      <c r="I167" s="20" t="inlineStr">
        <is>
          <t>销售数据只能证明活动期总体销售，不能独立证明逐店执行。</t>
        </is>
      </c>
      <c r="K167" s="20" t="inlineStr">
        <is>
          <t>如政策要求逐店销售佐证，补交门店级POS或出库明细。</t>
        </is>
      </c>
    </row>
    <row r="168" ht="108" customHeight="1">
      <c r="A168" s="20" t="n">
        <v>8</v>
      </c>
      <c r="B168" s="20" t="inlineStr">
        <is>
          <t>中</t>
        </is>
      </c>
      <c r="C168" s="20" t="inlineStr">
        <is>
          <t>SALES_EXCEL_EXTERNAL_LINKS</t>
        </is>
      </c>
      <c r="E168" s="20" t="inlineStr">
        <is>
          <t>销售Excel有36个公式引用缺失的外部工作簿。
来源：H10,H11,H16,H17,H21,H22,H27,H30,H31,H33,H34,H9,L11,L13,L14,L15,L16,L17,L2,L20</t>
        </is>
      </c>
      <c r="I168" s="20" t="inlineStr">
        <is>
          <t>部分单位或零售价无法在当前文件内独立重算。</t>
        </is>
      </c>
      <c r="K168" s="20" t="inlineStr">
        <is>
          <t>补交被引用主数据或将外链转为可追溯静态值。</t>
        </is>
      </c>
    </row>
    <row r="170" ht="24" customHeight="1">
      <c r="A170" s="11" t="inlineStr">
        <is>
          <t>模型调用量与失败重试</t>
        </is>
      </c>
    </row>
    <row r="171" ht="42" customHeight="1">
      <c r="A171" s="12" t="inlineStr">
        <is>
          <t>这里只保存结构化调用次数、重试和Token统计，不保存stdout/stderr、模型事件流或其他运行日志。</t>
        </is>
      </c>
    </row>
    <row r="172" ht="30" customHeight="1">
      <c r="A172" s="13" t="inlineStr">
        <is>
          <t>模型</t>
        </is>
      </c>
      <c r="B172" s="13" t="inlineStr">
        <is>
          <t>调用次数</t>
        </is>
      </c>
      <c r="C172" s="13" t="inlineStr">
        <is>
          <t>成功次数</t>
        </is>
      </c>
      <c r="D172" s="13" t="inlineStr">
        <is>
          <t>失败次数</t>
        </is>
      </c>
      <c r="E172" s="13" t="inlineStr">
        <is>
          <t>重试次数</t>
        </is>
      </c>
      <c r="F172" s="13" t="inlineStr">
        <is>
          <t>输入Token</t>
        </is>
      </c>
      <c r="G172" s="13" t="inlineStr">
        <is>
          <t>缓存输入Token</t>
        </is>
      </c>
      <c r="H172" s="13" t="inlineStr">
        <is>
          <t>输出Token</t>
        </is>
      </c>
      <c r="I172" s="13" t="inlineStr">
        <is>
          <t>推理输出Token</t>
        </is>
      </c>
      <c r="J172" s="13" t="inlineStr">
        <is>
          <t>总Token</t>
        </is>
      </c>
    </row>
    <row r="173" ht="36" customHeight="1">
      <c r="A173" s="14" t="inlineStr">
        <is>
          <t>default</t>
        </is>
      </c>
      <c r="B173" s="15" t="n">
        <v>1</v>
      </c>
      <c r="C173" s="15" t="n">
        <v>1</v>
      </c>
      <c r="D173" s="15" t="n">
        <v>0</v>
      </c>
      <c r="E173" s="15" t="n">
        <v>0</v>
      </c>
      <c r="F173" s="15" t="n">
        <v>5090806</v>
      </c>
      <c r="G173" s="15" t="n">
        <v>4872576</v>
      </c>
      <c r="H173" s="15" t="n">
        <v>44254</v>
      </c>
      <c r="I173" s="15" t="n">
        <v>20246</v>
      </c>
      <c r="J173" s="15" t="n">
        <v>5135060</v>
      </c>
    </row>
    <row r="175" ht="30" customHeight="1">
      <c r="A175" s="13" t="inlineStr">
        <is>
          <t>尝试序号</t>
        </is>
      </c>
      <c r="B175" s="13" t="inlineStr">
        <is>
          <t>状态</t>
        </is>
      </c>
      <c r="C175" s="13" t="inlineStr">
        <is>
          <t>退出码</t>
        </is>
      </c>
      <c r="D175" s="13" t="inlineStr">
        <is>
          <t>失败原因摘要</t>
        </is>
      </c>
      <c r="E175" s="13" t="inlineStr">
        <is>
          <t>输入Token</t>
        </is>
      </c>
      <c r="F175" s="13" t="inlineStr">
        <is>
          <t>缓存输入Token</t>
        </is>
      </c>
      <c r="G175" s="13" t="inlineStr">
        <is>
          <t>输出Token</t>
        </is>
      </c>
      <c r="H175" s="13" t="inlineStr">
        <is>
          <t>推理Token</t>
        </is>
      </c>
      <c r="I175" s="13" t="inlineStr">
        <is>
          <t>总Token</t>
        </is>
      </c>
    </row>
    <row r="176" ht="36" customHeight="1">
      <c r="A176" s="14" t="n">
        <v>1</v>
      </c>
      <c r="B176" s="14" t="inlineStr">
        <is>
          <t>成功</t>
        </is>
      </c>
      <c r="C176" s="14" t="n">
        <v>0</v>
      </c>
      <c r="D176" s="14" t="n"/>
      <c r="E176" s="14" t="n">
        <v>5090806</v>
      </c>
      <c r="F176" s="14" t="n">
        <v>4872576</v>
      </c>
      <c r="G176" s="14" t="n">
        <v>44254</v>
      </c>
      <c r="H176" s="14" t="n">
        <v>20246</v>
      </c>
      <c r="I176" s="14" t="n">
        <v>5135060</v>
      </c>
    </row>
  </sheetData>
  <mergeCells count="284">
    <mergeCell ref="H53:I53"/>
    <mergeCell ref="H35:I35"/>
    <mergeCell ref="I168:J168"/>
    <mergeCell ref="F16:G16"/>
    <mergeCell ref="A159:M159"/>
    <mergeCell ref="B22:C22"/>
    <mergeCell ref="J28:K28"/>
    <mergeCell ref="B31:C31"/>
    <mergeCell ref="A81:M81"/>
    <mergeCell ref="K161:M161"/>
    <mergeCell ref="C162:D162"/>
    <mergeCell ref="B12:C12"/>
    <mergeCell ref="H39:I39"/>
    <mergeCell ref="B21:C21"/>
    <mergeCell ref="D28:F28"/>
    <mergeCell ref="L12:M12"/>
    <mergeCell ref="E156:F156"/>
    <mergeCell ref="E153:F153"/>
    <mergeCell ref="F15:G15"/>
    <mergeCell ref="D37:F37"/>
    <mergeCell ref="D13:E13"/>
    <mergeCell ref="E155:F155"/>
    <mergeCell ref="C164:D164"/>
    <mergeCell ref="B14:C14"/>
    <mergeCell ref="K160:M160"/>
    <mergeCell ref="D30:F30"/>
    <mergeCell ref="L14:M14"/>
    <mergeCell ref="D39:F39"/>
    <mergeCell ref="D48:E48"/>
    <mergeCell ref="H52:I52"/>
    <mergeCell ref="A82:M82"/>
    <mergeCell ref="B13:C13"/>
    <mergeCell ref="B38:C38"/>
    <mergeCell ref="C163:D163"/>
    <mergeCell ref="D29:F29"/>
    <mergeCell ref="D23:F23"/>
    <mergeCell ref="I155:J155"/>
    <mergeCell ref="H37:I37"/>
    <mergeCell ref="J31:K31"/>
    <mergeCell ref="F13:G13"/>
    <mergeCell ref="B40:C40"/>
    <mergeCell ref="H13:I13"/>
    <mergeCell ref="B49:C49"/>
    <mergeCell ref="I166:J166"/>
    <mergeCell ref="J21:K21"/>
    <mergeCell ref="B24:C24"/>
    <mergeCell ref="C149:D149"/>
    <mergeCell ref="B33:C33"/>
    <mergeCell ref="B51:C51"/>
    <mergeCell ref="H15:I15"/>
    <mergeCell ref="A18:M18"/>
    <mergeCell ref="D51:E51"/>
    <mergeCell ref="J4:M4"/>
    <mergeCell ref="A6:C6"/>
    <mergeCell ref="H23:I23"/>
    <mergeCell ref="B32:C32"/>
    <mergeCell ref="E166:H166"/>
    <mergeCell ref="J23:K23"/>
    <mergeCell ref="B26:C26"/>
    <mergeCell ref="B41:C41"/>
    <mergeCell ref="G149:H149"/>
    <mergeCell ref="A2:M2"/>
    <mergeCell ref="B35:C35"/>
    <mergeCell ref="I149:J149"/>
    <mergeCell ref="E163:H163"/>
    <mergeCell ref="K165:M165"/>
    <mergeCell ref="B16:C16"/>
    <mergeCell ref="D27:F27"/>
    <mergeCell ref="B25:C25"/>
    <mergeCell ref="D41:F41"/>
    <mergeCell ref="L16:M16"/>
    <mergeCell ref="F54:G54"/>
    <mergeCell ref="H54:I54"/>
    <mergeCell ref="E168:H168"/>
    <mergeCell ref="G151:H151"/>
    <mergeCell ref="G6:I6"/>
    <mergeCell ref="I151:J151"/>
    <mergeCell ref="H41:I41"/>
    <mergeCell ref="A122:M122"/>
    <mergeCell ref="A3:C3"/>
    <mergeCell ref="I160:J160"/>
    <mergeCell ref="H50:I50"/>
    <mergeCell ref="B27:C27"/>
    <mergeCell ref="D43:F43"/>
    <mergeCell ref="H25:I25"/>
    <mergeCell ref="H34:I34"/>
    <mergeCell ref="J34:K34"/>
    <mergeCell ref="B11:C11"/>
    <mergeCell ref="D11:E11"/>
    <mergeCell ref="H49:I49"/>
    <mergeCell ref="L151:M151"/>
    <mergeCell ref="D3:F3"/>
    <mergeCell ref="G4:I4"/>
    <mergeCell ref="J27:K27"/>
    <mergeCell ref="H36:I36"/>
    <mergeCell ref="D25:F25"/>
    <mergeCell ref="J36:K36"/>
    <mergeCell ref="A4:C4"/>
    <mergeCell ref="B53:C53"/>
    <mergeCell ref="D53:E53"/>
    <mergeCell ref="I162:J162"/>
    <mergeCell ref="H11:I11"/>
    <mergeCell ref="J11:K11"/>
    <mergeCell ref="J20:K20"/>
    <mergeCell ref="B29:C29"/>
    <mergeCell ref="B37:C37"/>
    <mergeCell ref="K162:M162"/>
    <mergeCell ref="K49:M49"/>
    <mergeCell ref="H28:I28"/>
    <mergeCell ref="J22:K22"/>
    <mergeCell ref="E154:F154"/>
    <mergeCell ref="G154:H154"/>
    <mergeCell ref="L149:M149"/>
    <mergeCell ref="A46:M46"/>
    <mergeCell ref="H12:I12"/>
    <mergeCell ref="K164:M164"/>
    <mergeCell ref="J12:K12"/>
    <mergeCell ref="B15:C15"/>
    <mergeCell ref="F48:G48"/>
    <mergeCell ref="D15:E15"/>
    <mergeCell ref="H48:I48"/>
    <mergeCell ref="D31:F31"/>
    <mergeCell ref="C165:D165"/>
    <mergeCell ref="D40:F40"/>
    <mergeCell ref="A56:M56"/>
    <mergeCell ref="C155:D155"/>
    <mergeCell ref="K163:M163"/>
    <mergeCell ref="H14:I14"/>
    <mergeCell ref="D21:F21"/>
    <mergeCell ref="A7:C7"/>
    <mergeCell ref="B54:C54"/>
    <mergeCell ref="J29:K29"/>
    <mergeCell ref="H38:I38"/>
    <mergeCell ref="C151:D151"/>
    <mergeCell ref="A8:M8"/>
    <mergeCell ref="J38:K38"/>
    <mergeCell ref="D32:F32"/>
    <mergeCell ref="H43:I43"/>
    <mergeCell ref="E151:F151"/>
    <mergeCell ref="G155:H155"/>
    <mergeCell ref="C160:D160"/>
    <mergeCell ref="C166:D166"/>
    <mergeCell ref="J3:M3"/>
    <mergeCell ref="A171:M171"/>
    <mergeCell ref="G3:I3"/>
    <mergeCell ref="H31:I31"/>
    <mergeCell ref="D7:F7"/>
    <mergeCell ref="E150:F150"/>
    <mergeCell ref="H40:I40"/>
    <mergeCell ref="A10:M10"/>
    <mergeCell ref="J40:K40"/>
    <mergeCell ref="B43:C43"/>
    <mergeCell ref="A19:M19"/>
    <mergeCell ref="B52:C52"/>
    <mergeCell ref="H21:I21"/>
    <mergeCell ref="D52:E52"/>
    <mergeCell ref="F53:G53"/>
    <mergeCell ref="J24:K24"/>
    <mergeCell ref="D49:E49"/>
    <mergeCell ref="C152:D152"/>
    <mergeCell ref="E152:F152"/>
    <mergeCell ref="A9:M9"/>
    <mergeCell ref="B42:C42"/>
    <mergeCell ref="I150:J150"/>
    <mergeCell ref="K166:M166"/>
    <mergeCell ref="K48:M48"/>
    <mergeCell ref="F50:G50"/>
    <mergeCell ref="E149:F149"/>
    <mergeCell ref="D33:F33"/>
    <mergeCell ref="E160:H160"/>
    <mergeCell ref="J26:K26"/>
    <mergeCell ref="I165:J165"/>
    <mergeCell ref="D42:F42"/>
    <mergeCell ref="G152:H152"/>
    <mergeCell ref="J35:K35"/>
    <mergeCell ref="B44:C44"/>
    <mergeCell ref="I152:J152"/>
    <mergeCell ref="L153:M153"/>
    <mergeCell ref="A1:M1"/>
    <mergeCell ref="H16:I16"/>
    <mergeCell ref="I161:J161"/>
    <mergeCell ref="K168:M168"/>
    <mergeCell ref="J16:K16"/>
    <mergeCell ref="B34:C34"/>
    <mergeCell ref="J25:K25"/>
    <mergeCell ref="B28:C28"/>
    <mergeCell ref="D35:F35"/>
    <mergeCell ref="D44:F44"/>
    <mergeCell ref="K167:M167"/>
    <mergeCell ref="H22:I22"/>
    <mergeCell ref="D20:F20"/>
    <mergeCell ref="E161:H161"/>
    <mergeCell ref="D34:F34"/>
    <mergeCell ref="D12:E12"/>
    <mergeCell ref="B30:C30"/>
    <mergeCell ref="L152:M152"/>
    <mergeCell ref="G153:H153"/>
    <mergeCell ref="I153:J153"/>
    <mergeCell ref="C161:D161"/>
    <mergeCell ref="B20:C20"/>
    <mergeCell ref="H42:I42"/>
    <mergeCell ref="D22:F22"/>
    <mergeCell ref="J42:K42"/>
    <mergeCell ref="L155:M155"/>
    <mergeCell ref="D36:F36"/>
    <mergeCell ref="L11:M11"/>
    <mergeCell ref="D14:E14"/>
    <mergeCell ref="F49:G49"/>
    <mergeCell ref="F14:G14"/>
    <mergeCell ref="K51:M51"/>
    <mergeCell ref="D54:E54"/>
    <mergeCell ref="A57:M57"/>
    <mergeCell ref="D6:F6"/>
    <mergeCell ref="C154:D154"/>
    <mergeCell ref="G7:I7"/>
    <mergeCell ref="H30:I30"/>
    <mergeCell ref="J39:K39"/>
    <mergeCell ref="F11:G11"/>
    <mergeCell ref="J44:K44"/>
    <mergeCell ref="H20:I20"/>
    <mergeCell ref="K50:M50"/>
    <mergeCell ref="E162:H162"/>
    <mergeCell ref="I164:J164"/>
    <mergeCell ref="H29:I29"/>
    <mergeCell ref="J14:K14"/>
    <mergeCell ref="C156:D156"/>
    <mergeCell ref="L150:M150"/>
    <mergeCell ref="J37:K37"/>
    <mergeCell ref="A147:M147"/>
    <mergeCell ref="I154:J154"/>
    <mergeCell ref="H44:I44"/>
    <mergeCell ref="J13:K13"/>
    <mergeCell ref="I163:J163"/>
    <mergeCell ref="K52:M52"/>
    <mergeCell ref="L13:M13"/>
    <mergeCell ref="E164:H164"/>
    <mergeCell ref="A170:M170"/>
    <mergeCell ref="B39:C39"/>
    <mergeCell ref="J30:K30"/>
    <mergeCell ref="F12:G12"/>
    <mergeCell ref="B48:C48"/>
    <mergeCell ref="G156:H156"/>
    <mergeCell ref="I156:J156"/>
    <mergeCell ref="J15:K15"/>
    <mergeCell ref="F51:G51"/>
    <mergeCell ref="D4:F4"/>
    <mergeCell ref="L15:M15"/>
    <mergeCell ref="B23:C23"/>
    <mergeCell ref="H51:I51"/>
    <mergeCell ref="C168:D168"/>
    <mergeCell ref="A148:M148"/>
    <mergeCell ref="K53:M53"/>
    <mergeCell ref="C167:D167"/>
    <mergeCell ref="D24:F24"/>
    <mergeCell ref="E165:H165"/>
    <mergeCell ref="D38:F38"/>
    <mergeCell ref="D16:E16"/>
    <mergeCell ref="A123:M123"/>
    <mergeCell ref="L156:M156"/>
    <mergeCell ref="H32:I32"/>
    <mergeCell ref="J32:K32"/>
    <mergeCell ref="J41:K41"/>
    <mergeCell ref="D26:F26"/>
    <mergeCell ref="J6:M6"/>
    <mergeCell ref="I167:J167"/>
    <mergeCell ref="C150:D150"/>
    <mergeCell ref="H27:I27"/>
    <mergeCell ref="F52:G52"/>
    <mergeCell ref="C153:D153"/>
    <mergeCell ref="J43:K43"/>
    <mergeCell ref="A158:M158"/>
    <mergeCell ref="H24:I24"/>
    <mergeCell ref="K54:M54"/>
    <mergeCell ref="E167:H167"/>
    <mergeCell ref="H33:I33"/>
    <mergeCell ref="G150:H150"/>
    <mergeCell ref="J33:K33"/>
    <mergeCell ref="B36:C36"/>
    <mergeCell ref="B50:C50"/>
    <mergeCell ref="L154:M154"/>
    <mergeCell ref="D50:E50"/>
    <mergeCell ref="J7:M7"/>
    <mergeCell ref="A47:M47"/>
    <mergeCell ref="H26:I2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2026-08-14T11:40:22Z</dcterms:created>
  <dcterms:modified xmlns:dcterms="http://purl.org/dc/terms/" xmlns:xsi="http://www.w3.org/2001/XMLSchema-instance" xsi:type="dcterms:W3CDTF">2026-08-14T11:40:22Z</dcterms:modified>
</cp:coreProperties>
</file>