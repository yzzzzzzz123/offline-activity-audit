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人员激励核销" sheetId="1" state="visible" r:id="rId1"/>
    <sheet xmlns:r="http://schemas.openxmlformats.org/officeDocument/2006/relationships" name="堆头核销" sheetId="2" state="visible" r:id="rId2"/>
  </sheets>
  <definedNames>
    <definedName name="_xlnm.Print_Titles" localSheetId="0">'人员激励核销'!$1:$8</definedName>
    <definedName name="_xlnm.Print_Titles" localSheetId="1">'堆头核销'!$1:$8</definedName>
  </definedNames>
  <calcPr calcId="124519" calcMode="auto" fullCalcOnLoad="1" forceFullCalc="1"/>
</workbook>
</file>

<file path=xl/styles.xml><?xml version="1.0" encoding="utf-8"?>
<styleSheet xmlns="http://schemas.openxmlformats.org/spreadsheetml/2006/main">
  <numFmts count="0"/>
  <fonts count="11">
    <font>
      <name val="Calibri"/>
      <family val="2"/>
      <color theme="1"/>
      <sz val="11"/>
      <scheme val="minor"/>
    </font>
    <font>
      <name val="Microsoft YaHei"/>
      <b val="1"/>
      <color rgb="00FFFFFF"/>
      <sz val="16"/>
    </font>
    <font>
      <name val="Microsoft YaHei"/>
      <color rgb="00666666"/>
      <sz val="9"/>
    </font>
    <font>
      <name val="Microsoft YaHei"/>
      <color rgb="00555555"/>
      <sz val="9"/>
    </font>
    <font>
      <name val="Microsoft YaHei"/>
      <b val="1"/>
      <color rgb="00FFFFFF"/>
      <sz val="12"/>
    </font>
    <font>
      <name val="Microsoft YaHei"/>
      <b val="1"/>
      <color rgb="00FFFFFF"/>
      <sz val="10"/>
    </font>
    <font>
      <name val="Microsoft YaHei"/>
      <color rgb="000000FF"/>
      <sz val="10"/>
    </font>
    <font>
      <name val="Microsoft YaHei"/>
      <color rgb="00000000"/>
      <sz val="10"/>
    </font>
    <font>
      <name val="Microsoft YaHei"/>
      <b val="1"/>
      <color rgb="00000000"/>
      <sz val="10"/>
    </font>
    <font>
      <name val="Microsoft YaHei"/>
      <b val="1"/>
      <color rgb="0017365D"/>
      <sz val="9"/>
    </font>
    <font>
      <name val="Microsoft YaHei"/>
      <b val="1"/>
      <color rgb="00000000"/>
      <sz val="14"/>
    </font>
  </fonts>
  <fills count="10">
    <fill>
      <patternFill/>
    </fill>
    <fill>
      <patternFill patternType="gray125"/>
    </fill>
    <fill>
      <patternFill patternType="solid">
        <fgColor rgb="0017365D"/>
      </patternFill>
    </fill>
    <fill>
      <patternFill patternType="solid">
        <fgColor rgb="00EAF3F8"/>
      </patternFill>
    </fill>
    <fill>
      <patternFill patternType="solid">
        <fgColor rgb="00E7E6E6"/>
      </patternFill>
    </fill>
    <fill>
      <patternFill patternType="solid">
        <fgColor rgb="00FFF2CC"/>
      </patternFill>
    </fill>
    <fill>
      <patternFill patternType="solid">
        <fgColor rgb="00D9EAF7"/>
      </patternFill>
    </fill>
    <fill>
      <patternFill patternType="solid">
        <fgColor rgb="00FFFFFF"/>
      </patternFill>
    </fill>
    <fill>
      <patternFill patternType="solid">
        <fgColor rgb="00E2F0D9"/>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center" wrapText="1"/>
    </xf>
    <xf numFmtId="0" fontId="9" fillId="6" borderId="0" applyAlignment="1" pivotButton="0" quotePrefix="0" xfId="0">
      <alignment horizontal="center" vertical="center"/>
    </xf>
    <xf numFmtId="4" fontId="10" fillId="7" borderId="0" applyAlignment="1" pivotButton="0" quotePrefix="0" xfId="0">
      <alignment horizontal="center" vertical="center" wrapText="1"/>
    </xf>
    <xf numFmtId="4" fontId="10" fillId="8" borderId="0" applyAlignment="1" pivotButton="0" quotePrefix="0" xfId="0">
      <alignment horizontal="center" vertical="center" wrapText="1"/>
    </xf>
    <xf numFmtId="4" fontId="10" fillId="5" borderId="0" applyAlignment="1" pivotButton="0" quotePrefix="0" xfId="0">
      <alignment horizontal="center" vertical="center" wrapText="1"/>
    </xf>
    <xf numFmtId="0" fontId="10" fillId="7" borderId="0" applyAlignment="1" pivotButton="0" quotePrefix="0" xfId="0">
      <alignment horizontal="center" vertical="center" wrapText="1"/>
    </xf>
    <xf numFmtId="0" fontId="10" fillId="8" borderId="0" applyAlignment="1" pivotButton="0" quotePrefix="0" xfId="0">
      <alignment horizontal="center" vertical="center" wrapText="1"/>
    </xf>
    <xf numFmtId="0" fontId="10" fillId="5" borderId="0" applyAlignment="1" pivotButton="0" quotePrefix="0" xfId="0">
      <alignment horizontal="center" vertical="center" wrapText="1"/>
    </xf>
    <xf numFmtId="0" fontId="3" fillId="4" borderId="0" applyAlignment="1" pivotButton="0" quotePrefix="0" xfId="0">
      <alignment vertical="center" wrapText="1"/>
    </xf>
    <xf numFmtId="0" fontId="4" fillId="2" borderId="0" applyAlignment="1" pivotButton="0" quotePrefix="0" xfId="0">
      <alignment vertical="center"/>
    </xf>
    <xf numFmtId="0" fontId="3" fillId="3" borderId="0" applyAlignment="1" pivotButton="0" quotePrefix="0" xfId="0">
      <alignment vertical="center"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3" fontId="6" fillId="0" borderId="1" applyAlignment="1" pivotButton="0" quotePrefix="0" xfId="0">
      <alignment vertical="top" wrapText="1"/>
    </xf>
    <xf numFmtId="3" fontId="7" fillId="0" borderId="1" applyAlignment="1" pivotButton="0" quotePrefix="0" xfId="0">
      <alignment vertical="top" wrapText="1"/>
    </xf>
    <xf numFmtId="4" fontId="6" fillId="0" borderId="1" applyAlignment="1" pivotButton="0" quotePrefix="0" xfId="0">
      <alignment vertical="top" wrapText="1"/>
    </xf>
    <xf numFmtId="4" fontId="7" fillId="0" borderId="1" applyAlignment="1" pivotButton="0" quotePrefix="0" xfId="0">
      <alignment vertical="top" wrapText="1"/>
    </xf>
    <xf numFmtId="0" fontId="6" fillId="5" borderId="1" applyAlignment="1" pivotButton="0" quotePrefix="0" xfId="0">
      <alignment vertical="top" wrapText="1"/>
    </xf>
    <xf numFmtId="0" fontId="8" fillId="6"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6" fillId="4" borderId="1" applyAlignment="1" pivotButton="0" quotePrefix="0" xfId="0">
      <alignment vertical="top" wrapText="1"/>
    </xf>
    <xf numFmtId="0" fontId="6" fillId="8" borderId="1" applyAlignment="1" pivotButton="0" quotePrefix="0" xfId="0">
      <alignment vertical="top" wrapText="1"/>
    </xf>
    <xf numFmtId="0" fontId="7" fillId="9" borderId="1" applyAlignment="1" pivotButton="0" quotePrefix="0" xfId="0">
      <alignment vertical="top" wrapText="1"/>
    </xf>
    <xf numFmtId="0" fontId="6"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fitToPage="1"/>
  </sheetPr>
  <dimension ref="A1:M181"/>
  <sheetViews>
    <sheetView showGridLines="0" zoomScale="70" workbookViewId="0">
      <pane ySplit="8" topLeftCell="A9" activePane="bottomLeft" state="frozen"/>
      <selection pane="bottomLeft" activeCell="A1" sqref="A1"/>
    </sheetView>
  </sheetViews>
  <sheetFormatPr baseColWidth="8" defaultRowHeight="15"/>
  <cols>
    <col width="10" customWidth="1" min="1" max="1"/>
    <col width="28" customWidth="1" min="2" max="2"/>
    <col width="16" customWidth="1" min="3" max="3"/>
    <col width="38" customWidth="1" min="4" max="4"/>
    <col width="20" customWidth="1" min="5" max="5"/>
    <col width="15" customWidth="1" min="6" max="6"/>
    <col width="13" customWidth="1" min="7" max="7"/>
    <col width="13" customWidth="1" min="8" max="8"/>
    <col width="17" customWidth="1" min="9" max="9"/>
    <col width="17" customWidth="1" min="10" max="10"/>
    <col width="15" customWidth="1" min="11" max="11"/>
    <col width="18" customWidth="1" min="12" max="12"/>
    <col width="52" customWidth="1" min="13" max="13"/>
  </cols>
  <sheetData>
    <row r="1" ht="28" customHeight="1">
      <c r="A1" s="1" t="inlineStr">
        <is>
          <t>人员激励核销：文件读取、逐SKU、逐门店转账与最终结论</t>
        </is>
      </c>
    </row>
    <row r="2" ht="42" customHeight="1">
      <c r="A2" s="2" t="inlineStr">
        <is>
          <t>阅读顺序：销售Excel底层行 → 最终结算单10行 → 逐SKU 1:1数量/金额 → 门店应付与转账截图 → 1.4.1与补证。</t>
        </is>
      </c>
    </row>
    <row r="3" ht="20" customHeight="1">
      <c r="A3" s="3" t="inlineStr">
        <is>
          <t>结算/申请金额（元）</t>
        </is>
      </c>
      <c r="D3" s="3" t="inlineStr">
        <is>
          <t>证据支持金额（元）</t>
        </is>
      </c>
      <c r="G3" s="3" t="inlineStr">
        <is>
          <t>建议通过金额（元）</t>
        </is>
      </c>
      <c r="J3" s="3" t="inlineStr">
        <is>
          <t>暂挂金额（元）</t>
        </is>
      </c>
    </row>
    <row r="4" ht="30" customHeight="1">
      <c r="A4" s="4" t="n">
        <v>7350</v>
      </c>
      <c r="D4" s="5">
        <f>MIN(L40,F127)</f>
        <v/>
      </c>
      <c r="G4" s="5">
        <f>MIN(A4,D4)</f>
        <v/>
      </c>
      <c r="J4" s="6">
        <f>A4-G4</f>
        <v/>
      </c>
    </row>
    <row r="6" ht="20" customHeight="1">
      <c r="A6" s="3" t="inlineStr">
        <is>
          <t>结算SKU</t>
        </is>
      </c>
      <c r="D6" s="3" t="inlineStr">
        <is>
          <t>逐SKU数量通过</t>
        </is>
      </c>
      <c r="G6" s="3" t="inlineStr">
        <is>
          <t>异常/待说明</t>
        </is>
      </c>
      <c r="J6" s="3" t="inlineStr">
        <is>
          <t>最终结论</t>
        </is>
      </c>
    </row>
    <row r="7" ht="30" customHeight="1">
      <c r="A7" s="7" t="inlineStr">
        <is>
          <t>10个</t>
        </is>
      </c>
      <c r="D7" s="8" t="inlineStr">
        <is>
          <t>10/10</t>
        </is>
      </c>
      <c r="G7" s="9" t="inlineStr">
        <is>
          <t>13项</t>
        </is>
      </c>
      <c r="J7" s="7" t="inlineStr">
        <is>
          <t>待补件（金额可通过）</t>
        </is>
      </c>
    </row>
    <row r="8" ht="30" customHeight="1">
      <c r="A8" s="10" t="inlineStr">
        <is>
          <t>运行ID：20260817-full-001　案件：SQ202604300025-HX202605260014-郑州雨瑶-人员激励　活动期：2026-05-01 至 2026-05-20　核心原则：结算单没有条码时保留商品映射依据和置信度，不能只看总金额。</t>
        </is>
      </c>
    </row>
    <row r="9" ht="24" customHeight="1">
      <c r="A9" s="11" t="inlineStr">
        <is>
          <t>核销步骤总览</t>
        </is>
      </c>
    </row>
    <row r="10" ht="42" customHeight="1">
      <c r="A10" s="12" t="inlineStr">
        <is>
          <t>每一步都列明读什么、怎样计算、与什么比较以及本步限制。</t>
        </is>
      </c>
    </row>
    <row r="11" ht="30" customHeight="1">
      <c r="A11" s="13" t="inlineStr">
        <is>
          <t>步骤</t>
        </is>
      </c>
      <c r="B11" s="13" t="inlineStr">
        <is>
          <t>读取文件</t>
        </is>
      </c>
      <c r="D11" s="13" t="inlineStr">
        <is>
          <t>读取内容</t>
        </is>
      </c>
      <c r="F11" s="13" t="inlineStr">
        <is>
          <t>处理/计算</t>
        </is>
      </c>
      <c r="H11" s="13" t="inlineStr">
        <is>
          <t>对比对象</t>
        </is>
      </c>
      <c r="J11" s="13" t="inlineStr">
        <is>
          <t>本步结果</t>
        </is>
      </c>
      <c r="L11" s="13" t="inlineStr">
        <is>
          <t>结论/限制</t>
        </is>
      </c>
    </row>
    <row r="12" ht="66" customHeight="1">
      <c r="A12" s="14" t="n">
        <v>1</v>
      </c>
      <c r="B12" s="14" t="inlineStr">
        <is>
          <t>雨瑶人员激励参半销售数据2.xlsx</t>
        </is>
      </c>
      <c r="D12" s="14" t="inlineStr">
        <is>
          <t>Sheet1有效销售行；期间、门店、条码、商品、数量、单价、金额</t>
        </is>
      </c>
      <c r="F12" s="14" t="inlineStr">
        <is>
          <t>跳过空白/小计/合计并保留原Excel行号；按条码、门店汇总</t>
        </is>
      </c>
      <c r="H12" s="14" t="inlineStr">
        <is>
          <t>销售Excel自身明细与合计</t>
        </is>
      </c>
      <c r="J12" s="14" t="inlineStr">
        <is>
          <t>70行、7家、10个SKU、数量2451</t>
        </is>
      </c>
      <c r="L12" s="14" t="inlineStr">
        <is>
          <t>销售数量是结算核验的底层来源</t>
        </is>
      </c>
    </row>
    <row r="13" ht="66" customHeight="1">
      <c r="A13" s="14" t="n">
        <v>2</v>
      </c>
      <c r="B13" s="14" t="inlineStr">
        <is>
          <t>郑州雨瑶5.1-5.20人员激励活动结算单.jpg</t>
        </is>
      </c>
      <c r="D13" s="14" t="inlineStr">
        <is>
          <t>客户、活动期、10个奖励商品、数量、奖励单价、行金额、总额、实际申报</t>
        </is>
      </c>
      <c r="F13" s="14" t="inlineStr">
        <is>
          <t>把结算单每一行作为独立核销对象</t>
        </is>
      </c>
      <c r="H13" s="14" t="inlineStr">
        <is>
          <t>结算单10行</t>
        </is>
      </c>
      <c r="J13" s="14" t="inlineStr">
        <is>
          <t>数量2451、行奖励7353元、申报7350元</t>
        </is>
      </c>
      <c r="L13" s="14" t="inlineStr">
        <is>
          <t>结算单无条码，名称映射须保留依据</t>
        </is>
      </c>
    </row>
    <row r="14" ht="66" customHeight="1">
      <c r="A14" s="14" t="n">
        <v>3</v>
      </c>
      <c r="B14" s="14" t="inlineStr">
        <is>
          <t>销售Excel + 最终结算单</t>
        </is>
      </c>
      <c r="D14" s="14" t="inlineStr">
        <is>
          <t>结算每行与Excel唯一条码及全部来源行</t>
        </is>
      </c>
      <c r="F14" s="14" t="inlineStr">
        <is>
          <t>7家门店同条码数量求和；计算数量×奖励单价</t>
        </is>
      </c>
      <c r="H14" s="14" t="inlineStr">
        <is>
          <t>10个结算SKU ↔ 10个Excel条码</t>
        </is>
      </c>
      <c r="J14" s="14" t="inlineStr">
        <is>
          <t>10/10个数量匹配，计算奖励7353元</t>
        </is>
      </c>
      <c r="L14" s="14" t="inlineStr">
        <is>
          <t>中置信度映射仍需条码/主数据补证</t>
        </is>
      </c>
    </row>
    <row r="15" ht="66" customHeight="1">
      <c r="A15" s="14" t="n">
        <v>4</v>
      </c>
      <c r="B15" s="14" t="inlineStr">
        <is>
          <t>雨瑶人员激励红包图片.jpg、雨瑶人员激励红包图片2.jpg</t>
        </is>
      </c>
      <c r="D15" s="14" t="inlineStr">
        <is>
          <t>金额气泡、方向、身份、日期和镜像画面</t>
        </is>
      </c>
      <c r="F15" s="14" t="inlineStr">
        <is>
          <t>发送/接收镜像合并为transfer_id；比较金额集合</t>
        </is>
      </c>
      <c r="H15" s="14" t="inlineStr">
        <is>
          <t>7家门店应付 ↔ 7笔去重转账</t>
        </is>
      </c>
      <c r="J15" s="14" t="inlineStr">
        <is>
          <t>转账合计7353元</t>
        </is>
      </c>
      <c r="L15" s="14" t="inlineStr">
        <is>
          <t>金额相同不证明收款门店身份或日期</t>
        </is>
      </c>
    </row>
    <row r="16" ht="66" customHeight="1">
      <c r="A16" s="14" t="n">
        <v>5</v>
      </c>
      <c r="B16" s="14" t="inlineStr">
        <is>
          <t>上述全部材料</t>
        </is>
      </c>
      <c r="D16" s="14" t="inlineStr">
        <is>
          <t>逐SKU、逐门店、逐转账、真实性与合规性证据</t>
        </is>
      </c>
      <c r="F16" s="14" t="inlineStr">
        <is>
          <t>先计算证据支持金额，再与申报金额比较</t>
        </is>
      </c>
      <c r="H16" s="14" t="inlineStr">
        <is>
          <t>申报金额 ↔ 证据支持金额</t>
        </is>
      </c>
      <c r="J16" s="14" t="inlineStr">
        <is>
          <t>建议通过7350元、暂挂0元</t>
        </is>
      </c>
      <c r="L16" s="14" t="inlineStr">
        <is>
          <t>异常和补证要求在本页末尾列示</t>
        </is>
      </c>
    </row>
    <row r="18" ht="24" customHeight="1">
      <c r="A18" s="11" t="inlineStr">
        <is>
          <t>一、读取了哪些文件、读到了什么</t>
        </is>
      </c>
    </row>
    <row r="19" ht="42" customHeight="1">
      <c r="A19" s="12" t="inlineStr">
        <is>
          <t>每个原始文件单独列示来源、读取字段、读取结果和后续比对对象；SHA-256只固定收到后的文件身份。</t>
        </is>
      </c>
    </row>
    <row r="20" ht="30" customHeight="1">
      <c r="A20" s="13" t="inlineStr">
        <is>
          <t>序号</t>
        </is>
      </c>
      <c r="B20" s="13" t="inlineStr">
        <is>
          <t>来源ZIP</t>
        </is>
      </c>
      <c r="D20" s="13" t="inlineStr">
        <is>
          <t>压缩包内文件</t>
        </is>
      </c>
      <c r="G20" s="13" t="inlineStr">
        <is>
          <t>文件角色</t>
        </is>
      </c>
      <c r="H20" s="13" t="inlineStr">
        <is>
          <t>具体读取位置/字段</t>
        </is>
      </c>
      <c r="J20" s="13" t="inlineStr">
        <is>
          <t>读取结果/数据量</t>
        </is>
      </c>
      <c r="L20" s="13" t="inlineStr">
        <is>
          <t>后续比对工作</t>
        </is>
      </c>
      <c r="M20" s="13" t="inlineStr">
        <is>
          <t>大小与文件SHA-256</t>
        </is>
      </c>
    </row>
    <row r="21" outlineLevel="1" ht="78" customHeight="1">
      <c r="A21" s="14" t="n">
        <v>1</v>
      </c>
      <c r="B21" s="14" t="inlineStr">
        <is>
          <t>SQ202604300025-HX202605260014-郑州雨瑶-人员激励.zip</t>
        </is>
      </c>
      <c r="D21" s="14" t="inlineStr">
        <is>
          <t>（ZIP输入包本身）</t>
        </is>
      </c>
      <c r="G21" s="14" t="inlineStr">
        <is>
          <t>输入压缩包</t>
        </is>
      </c>
      <c r="H21" s="14" t="inlineStr">
        <is>
          <t>检查路径穿越、符号链接、加密、重名、文件数、大小和压缩比。</t>
        </is>
      </c>
      <c r="J21" s="14" t="inlineStr">
        <is>
          <t>安全解压4个文件，共1045724字节。</t>
        </is>
      </c>
      <c r="L21" s="14" t="inlineStr">
        <is>
          <t>固定收到的材料范围并路由到人员激励Skill。</t>
        </is>
      </c>
      <c r="M21" s="14" t="inlineStr">
        <is>
          <t>970,440字节
d0f5754effbd4ad45db4d048da9dfd9c69bfebfc957cff78c7c15420c298a15f</t>
        </is>
      </c>
    </row>
    <row r="22" outlineLevel="1" ht="78" customHeight="1">
      <c r="A22" s="14" t="n">
        <v>2</v>
      </c>
      <c r="B22" s="14" t="inlineStr">
        <is>
          <t>SQ202604300025-HX202605260014-郑州雨瑶-人员激励.zip</t>
        </is>
      </c>
      <c r="D22" s="14" t="inlineStr">
        <is>
          <t>郑州雨瑶5.1-5.20人员激励活动结算单.jpg</t>
        </is>
      </c>
      <c r="G22" s="14" t="inlineStr">
        <is>
          <t>最终结算单</t>
        </is>
      </c>
      <c r="H22" s="14" t="inlineStr">
        <is>
          <t>按原图读取客户、活动期间、每个奖励单品、销售数量、奖励单价、行奖励金额、总数量、总奖励、实际申报、盖章和签署日期。</t>
        </is>
      </c>
      <c r="J22" s="14" t="inlineStr">
        <is>
          <t>取得10条结算行；逐行映射销售Excel唯一条码，再比较数量和奖励金额。</t>
        </is>
      </c>
      <c r="L22" s="14" t="inlineStr">
        <is>
          <t>与销售Excel逐SKU比较数量和奖励；与转账总额比较。</t>
        </is>
      </c>
      <c r="M22" s="14" t="inlineStr">
        <is>
          <t>645,182字节
898a8061a91af8d681ccdb650b43a07a42b96272407ba249dd64dc53b4bbc4e6</t>
        </is>
      </c>
    </row>
    <row r="23" outlineLevel="1" ht="78" customHeight="1">
      <c r="A23" s="14" t="n">
        <v>3</v>
      </c>
      <c r="B23" s="14" t="inlineStr">
        <is>
          <t>SQ202604300025-HX202605260014-郑州雨瑶-人员激励.zip</t>
        </is>
      </c>
      <c r="D23" s="14" t="inlineStr">
        <is>
          <t>雨瑶人员激励参半销售数据2.xlsx</t>
        </is>
      </c>
      <c r="G23" s="14" t="inlineStr">
        <is>
          <t>销售Excel</t>
        </is>
      </c>
      <c r="H23" s="14" t="inlineStr">
        <is>
          <t>工作表Sheet1；表头第1行；读取期间、门店、条码、商品、数量、单价和金额公式；保留原Excel行号。</t>
        </is>
      </c>
      <c r="J23" s="14" t="inlineStr">
        <is>
          <t>有效明细70行、7家门店、10个SKU；按条码汇总后与最终结算单10行逐项比较。</t>
        </is>
      </c>
      <c r="L23" s="14" t="inlineStr">
        <is>
          <t>与最终结算单逐SKU比较数量；按门店汇总应付奖励。</t>
        </is>
      </c>
      <c r="M23" s="14" t="inlineStr">
        <is>
          <t>14,391字节
5e1ac08e1c79fd721e2f0dcf60e09763452943309163bb2079e424b77837b5a6</t>
        </is>
      </c>
    </row>
    <row r="24" outlineLevel="1" ht="78" customHeight="1">
      <c r="A24" s="14" t="n">
        <v>4</v>
      </c>
      <c r="B24" s="14" t="inlineStr">
        <is>
          <t>SQ202604300025-HX202605260014-郑州雨瑶-人员激励.zip</t>
        </is>
      </c>
      <c r="D24" s="14" t="inlineStr">
        <is>
          <t>雨瑶人员激励红包图片.jpg</t>
        </is>
      </c>
      <c r="G24" s="14" t="inlineStr">
        <is>
          <t>转账截图</t>
        </is>
      </c>
      <c r="H24" s="14" t="inlineStr">
        <is>
          <t>读取每个金额气泡、发送/接收方向、可见收款身份、可见日期和同一转账的镜像画面关系。</t>
        </is>
      </c>
      <c r="J24" s="14" t="inlineStr">
        <is>
          <t>两张截图合并为7笔去重转账；与7家门店应付金额集合比较，身份和日期另行判定。</t>
        </is>
      </c>
      <c r="L24" s="14" t="inlineStr">
        <is>
          <t>去重后与7家门店应付金额集合比较，并单独检查身份和日期。</t>
        </is>
      </c>
      <c r="M24" s="14" t="inlineStr">
        <is>
          <t>194,094字节
8aeda7f356dcf9123086cb55e6e60b4fc2049bfeaf784513dffcffa6f15b2529</t>
        </is>
      </c>
    </row>
    <row r="25" outlineLevel="1" ht="78" customHeight="1">
      <c r="A25" s="14" t="n">
        <v>5</v>
      </c>
      <c r="B25" s="14" t="inlineStr">
        <is>
          <t>SQ202604300025-HX202605260014-郑州雨瑶-人员激励.zip</t>
        </is>
      </c>
      <c r="D25" s="14" t="inlineStr">
        <is>
          <t>雨瑶人员激励红包图片2.jpg</t>
        </is>
      </c>
      <c r="G25" s="14" t="inlineStr">
        <is>
          <t>转账截图</t>
        </is>
      </c>
      <c r="H25" s="14" t="inlineStr">
        <is>
          <t>读取每个金额气泡、发送/接收方向、可见收款身份、可见日期和同一转账的镜像画面关系。</t>
        </is>
      </c>
      <c r="J25" s="14" t="inlineStr">
        <is>
          <t>两张截图合并为7笔去重转账；与7家门店应付金额集合比较，身份和日期另行判定。</t>
        </is>
      </c>
      <c r="L25" s="14" t="inlineStr">
        <is>
          <t>去重后与7家门店应付金额集合比较，并单独检查身份和日期。</t>
        </is>
      </c>
      <c r="M25" s="14" t="inlineStr">
        <is>
          <t>192,057字节
de4aa8f6d75027e207571fcf365ed5d805a350ff7622b45f29bc7d803db8c8ca</t>
        </is>
      </c>
    </row>
    <row r="27" ht="24" customHeight="1">
      <c r="A27" s="11" t="inlineStr">
        <is>
          <t>二、销售Excel与最终结算单逐SKU 1:1比对</t>
        </is>
      </c>
    </row>
    <row r="28" ht="42" customHeight="1">
      <c r="A28" s="12" t="inlineStr">
        <is>
          <t>结算来源：郑州雨瑶5.1-5.20人员激励活动结算单.jpg；销售来源：雨瑶人员激励参半销售数据2.xlsx。</t>
        </is>
      </c>
    </row>
    <row r="29" ht="30" customHeight="1">
      <c r="A29" s="13" t="inlineStr">
        <is>
          <t>结算行</t>
        </is>
      </c>
      <c r="B29" s="13" t="inlineStr">
        <is>
          <t>结算单读取商品</t>
        </is>
      </c>
      <c r="C29" s="13" t="inlineStr">
        <is>
          <t>结算数量</t>
        </is>
      </c>
      <c r="D29" s="13" t="inlineStr">
        <is>
          <t>销售Excel读取（条码/商品）</t>
        </is>
      </c>
      <c r="E29" s="13" t="inlineStr">
        <is>
          <t>Excel来源行</t>
        </is>
      </c>
      <c r="F29" s="13" t="inlineStr">
        <is>
          <t>Excel汇总数量</t>
        </is>
      </c>
      <c r="G29" s="13" t="inlineStr">
        <is>
          <t>数量差异</t>
        </is>
      </c>
      <c r="H29" s="13" t="inlineStr">
        <is>
          <t>奖励单价</t>
        </is>
      </c>
      <c r="I29" s="13" t="inlineStr">
        <is>
          <t>Excel计算奖励</t>
        </is>
      </c>
      <c r="J29" s="13" t="inlineStr">
        <is>
          <t>结算行奖励</t>
        </is>
      </c>
      <c r="K29" s="13" t="inlineStr">
        <is>
          <t>金额差异</t>
        </is>
      </c>
      <c r="L29" s="13" t="inlineStr">
        <is>
          <t>证据支持金额</t>
        </is>
      </c>
      <c r="M29" s="13" t="inlineStr">
        <is>
          <t>结论/映射依据</t>
        </is>
      </c>
    </row>
    <row r="30" ht="78" customHeight="1">
      <c r="A30" s="14" t="n">
        <v>1</v>
      </c>
      <c r="B30" s="14" t="inlineStr">
        <is>
          <t>羟基磷灰石修复牙膏</t>
        </is>
      </c>
      <c r="C30" s="15" t="n">
        <v>238</v>
      </c>
      <c r="D30" s="14" t="inlineStr">
        <is>
          <t>6970356166832
参半羟基磷灰石牙膏100g满陇桂雨味</t>
        </is>
      </c>
      <c r="E30" s="14" t="inlineStr">
        <is>
          <t>5,17,29,41,53,65,77</t>
        </is>
      </c>
      <c r="F30" s="15" t="n">
        <v>238</v>
      </c>
      <c r="G30" s="16">
        <f>F30-C30</f>
        <v/>
      </c>
      <c r="H30" s="17" t="n">
        <v>3</v>
      </c>
      <c r="I30" s="18">
        <f>F30*H30</f>
        <v/>
      </c>
      <c r="J30" s="17" t="n">
        <v>714</v>
      </c>
      <c r="K30" s="18">
        <f>J30-I30</f>
        <v/>
      </c>
      <c r="L30" s="18">
        <f>MAX(0,MIN(C30,F30))*H30</f>
        <v/>
      </c>
      <c r="M30" s="19" t="inlineStr">
        <is>
          <t>数量匹配；金额匹配；映射置信度中
结算单与销售Excel名称存在简称、前缀或规格差异；按唯一候选及汇总数量佐证，需补条码主数据。</t>
        </is>
      </c>
    </row>
    <row r="31" ht="78" customHeight="1">
      <c r="A31" s="14" t="n">
        <v>2</v>
      </c>
      <c r="B31" s="14" t="inlineStr">
        <is>
          <t>沸石净齿牙膏</t>
        </is>
      </c>
      <c r="C31" s="15" t="n">
        <v>275</v>
      </c>
      <c r="D31" s="14" t="inlineStr">
        <is>
          <t>6970356162391
参半沸石净齿牙膏140g清新苍兰</t>
        </is>
      </c>
      <c r="E31" s="14" t="inlineStr">
        <is>
          <t>6,18,30,42,54,66,78</t>
        </is>
      </c>
      <c r="F31" s="15" t="n">
        <v>275</v>
      </c>
      <c r="G31" s="16">
        <f>F31-C31</f>
        <v/>
      </c>
      <c r="H31" s="17" t="n">
        <v>3</v>
      </c>
      <c r="I31" s="18">
        <f>F31*H31</f>
        <v/>
      </c>
      <c r="J31" s="17" t="n">
        <v>825</v>
      </c>
      <c r="K31" s="18">
        <f>J31-I31</f>
        <v/>
      </c>
      <c r="L31" s="18">
        <f>MAX(0,MIN(C31,F31))*H31</f>
        <v/>
      </c>
      <c r="M31" s="19" t="inlineStr">
        <is>
          <t>数量匹配；金额匹配；映射置信度中
结算单与销售Excel名称存在简称、前缀或规格差异；按唯一候选及汇总数量佐证，需补条码主数据。</t>
        </is>
      </c>
    </row>
    <row r="32" ht="78" customHeight="1">
      <c r="A32" s="14" t="n">
        <v>3</v>
      </c>
      <c r="B32" s="14" t="inlineStr">
        <is>
          <t>沸石美白牙膏</t>
        </is>
      </c>
      <c r="C32" s="15" t="n">
        <v>284</v>
      </c>
      <c r="D32" s="14" t="inlineStr">
        <is>
          <t>6970356162810
参半沸石美白牙膏140g海角雏菊</t>
        </is>
      </c>
      <c r="E32" s="14" t="inlineStr">
        <is>
          <t>7,19,31,43,55,67,79</t>
        </is>
      </c>
      <c r="F32" s="15" t="n">
        <v>284</v>
      </c>
      <c r="G32" s="16">
        <f>F32-C32</f>
        <v/>
      </c>
      <c r="H32" s="17" t="n">
        <v>3</v>
      </c>
      <c r="I32" s="18">
        <f>F32*H32</f>
        <v/>
      </c>
      <c r="J32" s="17" t="n">
        <v>852</v>
      </c>
      <c r="K32" s="18">
        <f>J32-I32</f>
        <v/>
      </c>
      <c r="L32" s="18">
        <f>MAX(0,MIN(C32,F32))*H32</f>
        <v/>
      </c>
      <c r="M32" s="19" t="inlineStr">
        <is>
          <t>数量匹配；金额匹配；映射置信度中
结算单与销售Excel名称存在简称、前缀或规格差异；按唯一候选及汇总数量佐证，需补条码主数据。</t>
        </is>
      </c>
    </row>
    <row r="33" ht="78" customHeight="1">
      <c r="A33" s="14" t="n">
        <v>4</v>
      </c>
      <c r="B33" s="14" t="inlineStr">
        <is>
          <t>1+2臻白套盒</t>
        </is>
      </c>
      <c r="C33" s="15" t="n">
        <v>226</v>
      </c>
      <c r="D33" s="14" t="inlineStr">
        <is>
          <t>6970356164388
参半臻白牙膏1+2特享装</t>
        </is>
      </c>
      <c r="E33" s="14" t="inlineStr">
        <is>
          <t>2,14,26,38,50,62,74</t>
        </is>
      </c>
      <c r="F33" s="15" t="n">
        <v>226</v>
      </c>
      <c r="G33" s="16">
        <f>F33-C33</f>
        <v/>
      </c>
      <c r="H33" s="17" t="n">
        <v>3</v>
      </c>
      <c r="I33" s="18">
        <f>F33*H33</f>
        <v/>
      </c>
      <c r="J33" s="17" t="n">
        <v>678</v>
      </c>
      <c r="K33" s="18">
        <f>J33-I33</f>
        <v/>
      </c>
      <c r="L33" s="18">
        <f>MAX(0,MIN(C33,F33))*H33</f>
        <v/>
      </c>
      <c r="M33" s="19" t="inlineStr">
        <is>
          <t>数量匹配；金额匹配；映射置信度中
结算单与销售Excel名称存在简称、前缀或规格差异；按唯一候选及汇总数量佐证，需补条码主数据。</t>
        </is>
      </c>
    </row>
    <row r="34" ht="78" customHeight="1">
      <c r="A34" s="14" t="n">
        <v>5</v>
      </c>
      <c r="B34" s="14" t="inlineStr">
        <is>
          <t>光白酵素1+1超值装牙膏</t>
        </is>
      </c>
      <c r="C34" s="15" t="n">
        <v>225</v>
      </c>
      <c r="D34" s="14" t="inlineStr">
        <is>
          <t>6970356164395
参半极光白酵素1+1超值装牙膏(极光白160g+龙井100g)</t>
        </is>
      </c>
      <c r="E34" s="14" t="inlineStr">
        <is>
          <t>8,20,32,44,56,68,80</t>
        </is>
      </c>
      <c r="F34" s="15" t="n">
        <v>225</v>
      </c>
      <c r="G34" s="16">
        <f>F34-C34</f>
        <v/>
      </c>
      <c r="H34" s="17" t="n">
        <v>3</v>
      </c>
      <c r="I34" s="18">
        <f>F34*H34</f>
        <v/>
      </c>
      <c r="J34" s="17" t="n">
        <v>675</v>
      </c>
      <c r="K34" s="18">
        <f>J34-I34</f>
        <v/>
      </c>
      <c r="L34" s="18">
        <f>MAX(0,MIN(C34,F34))*H34</f>
        <v/>
      </c>
      <c r="M34" s="19" t="inlineStr">
        <is>
          <t>数量匹配；金额匹配；映射置信度中
结算单与销售Excel名称存在简称、前缀或规格差异；按唯一候选及汇总数量佐证，需补条码主数据。</t>
        </is>
      </c>
    </row>
    <row r="35" ht="78" customHeight="1">
      <c r="A35" s="14" t="n">
        <v>6</v>
      </c>
      <c r="B35" s="14" t="inlineStr">
        <is>
          <t>可益白牙膏葡萄知梨牙膏</t>
        </is>
      </c>
      <c r="C35" s="15" t="n">
        <v>252</v>
      </c>
      <c r="D35" s="14" t="inlineStr">
        <is>
          <t>6970356169338
参半可益白牙膏葡萄知梨120g</t>
        </is>
      </c>
      <c r="E35" s="14" t="inlineStr">
        <is>
          <t>10,22,34,46,58,70,82</t>
        </is>
      </c>
      <c r="F35" s="15" t="n">
        <v>252</v>
      </c>
      <c r="G35" s="16">
        <f>F35-C35</f>
        <v/>
      </c>
      <c r="H35" s="17" t="n">
        <v>3</v>
      </c>
      <c r="I35" s="18">
        <f>F35*H35</f>
        <v/>
      </c>
      <c r="J35" s="17" t="n">
        <v>756</v>
      </c>
      <c r="K35" s="18">
        <f>J35-I35</f>
        <v/>
      </c>
      <c r="L35" s="18">
        <f>MAX(0,MIN(C35,F35))*H35</f>
        <v/>
      </c>
      <c r="M35" s="19" t="inlineStr">
        <is>
          <t>数量匹配；金额匹配；映射置信度中
结算单与销售Excel名称存在简称、前缀或规格差异；按唯一候选及汇总数量佐证，需补条码主数据。</t>
        </is>
      </c>
    </row>
    <row r="36" ht="78" customHeight="1">
      <c r="A36" s="14" t="n">
        <v>7</v>
      </c>
      <c r="B36" s="14" t="inlineStr">
        <is>
          <t>可益清牙膏葡见茶爽牙膏</t>
        </is>
      </c>
      <c r="C36" s="15" t="n">
        <v>239</v>
      </c>
      <c r="D36" s="14" t="inlineStr">
        <is>
          <t>6970356169321
参半可益清牙膏葡见茶爽120g</t>
        </is>
      </c>
      <c r="E36" s="14" t="inlineStr">
        <is>
          <t>11,23,35,47,59,71,83</t>
        </is>
      </c>
      <c r="F36" s="15" t="n">
        <v>239</v>
      </c>
      <c r="G36" s="16">
        <f>F36-C36</f>
        <v/>
      </c>
      <c r="H36" s="17" t="n">
        <v>3</v>
      </c>
      <c r="I36" s="18">
        <f>F36*H36</f>
        <v/>
      </c>
      <c r="J36" s="17" t="n">
        <v>717</v>
      </c>
      <c r="K36" s="18">
        <f>J36-I36</f>
        <v/>
      </c>
      <c r="L36" s="18">
        <f>MAX(0,MIN(C36,F36))*H36</f>
        <v/>
      </c>
      <c r="M36" s="19" t="inlineStr">
        <is>
          <t>数量匹配；金额匹配；映射置信度中
结算单与销售Excel名称存在简称、前缀或规格差异；按唯一候选及汇总数量佐证，需补条码主数据。</t>
        </is>
      </c>
    </row>
    <row r="37" ht="78" customHeight="1">
      <c r="A37" s="14" t="n">
        <v>8</v>
      </c>
      <c r="B37" s="14" t="inlineStr">
        <is>
          <t>专研清新美白牙膏</t>
        </is>
      </c>
      <c r="C37" s="15" t="n">
        <v>278</v>
      </c>
      <c r="D37" s="14" t="inlineStr">
        <is>
          <t>6970356162636
参半专研清新美白牙膏100g</t>
        </is>
      </c>
      <c r="E37" s="14" t="inlineStr">
        <is>
          <t>9,21,33,45,57,69,81</t>
        </is>
      </c>
      <c r="F37" s="15" t="n">
        <v>278</v>
      </c>
      <c r="G37" s="16">
        <f>F37-C37</f>
        <v/>
      </c>
      <c r="H37" s="17" t="n">
        <v>3</v>
      </c>
      <c r="I37" s="18">
        <f>F37*H37</f>
        <v/>
      </c>
      <c r="J37" s="17" t="n">
        <v>834</v>
      </c>
      <c r="K37" s="18">
        <f>J37-I37</f>
        <v/>
      </c>
      <c r="L37" s="18">
        <f>MAX(0,MIN(C37,F37))*H37</f>
        <v/>
      </c>
      <c r="M37" s="19" t="inlineStr">
        <is>
          <t>数量匹配；金额匹配；映射置信度中
结算单与销售Excel名称存在简称、前缀或规格差异；按唯一候选及汇总数量佐证，需补条码主数据。</t>
        </is>
      </c>
    </row>
    <row r="38" ht="78" customHeight="1">
      <c r="A38" s="14" t="n">
        <v>9</v>
      </c>
      <c r="B38" s="14" t="inlineStr">
        <is>
          <t>SP-4美白牙膏</t>
        </is>
      </c>
      <c r="C38" s="15" t="n">
        <v>190</v>
      </c>
      <c r="D38" s="14" t="inlineStr">
        <is>
          <t>6970356164289
参半美白牙膏120g香域茉莉味</t>
        </is>
      </c>
      <c r="E38" s="14" t="inlineStr">
        <is>
          <t>4,16,28,40,52,64,76</t>
        </is>
      </c>
      <c r="F38" s="15" t="n">
        <v>190</v>
      </c>
      <c r="G38" s="16">
        <f>F38-C38</f>
        <v/>
      </c>
      <c r="H38" s="17" t="n">
        <v>3</v>
      </c>
      <c r="I38" s="18">
        <f>F38*H38</f>
        <v/>
      </c>
      <c r="J38" s="17" t="n">
        <v>570</v>
      </c>
      <c r="K38" s="18">
        <f>J38-I38</f>
        <v/>
      </c>
      <c r="L38" s="18">
        <f>MAX(0,MIN(C38,F38))*H38</f>
        <v/>
      </c>
      <c r="M38" s="19" t="inlineStr">
        <is>
          <t>数量匹配；金额匹配；映射置信度中
结算单使用SP-4别名，销售Excel未显示该别名；按一对一未映射SKU及汇总数量佐证，需补条码主数据。</t>
        </is>
      </c>
    </row>
    <row r="39" ht="78" customHeight="1">
      <c r="A39" s="14" t="n">
        <v>10</v>
      </c>
      <c r="B39" s="14" t="inlineStr">
        <is>
          <t>SP-4清新牙膏</t>
        </is>
      </c>
      <c r="C39" s="15" t="n">
        <v>244</v>
      </c>
      <c r="D39" s="14" t="inlineStr">
        <is>
          <t>6970356164296
参半清新牙膏120g动感薄荷</t>
        </is>
      </c>
      <c r="E39" s="14" t="inlineStr">
        <is>
          <t>3,15,27,39,51,63,75</t>
        </is>
      </c>
      <c r="F39" s="15" t="n">
        <v>244</v>
      </c>
      <c r="G39" s="16">
        <f>F39-C39</f>
        <v/>
      </c>
      <c r="H39" s="17" t="n">
        <v>3</v>
      </c>
      <c r="I39" s="18">
        <f>F39*H39</f>
        <v/>
      </c>
      <c r="J39" s="17" t="n">
        <v>732</v>
      </c>
      <c r="K39" s="18">
        <f>J39-I39</f>
        <v/>
      </c>
      <c r="L39" s="18">
        <f>MAX(0,MIN(C39,F39))*H39</f>
        <v/>
      </c>
      <c r="M39" s="19" t="inlineStr">
        <is>
          <t>数量匹配；金额匹配；映射置信度中
结算单使用SP-4别名，销售Excel未显示该别名；按一对一未映射SKU及汇总数量佐证，需补条码主数据。</t>
        </is>
      </c>
    </row>
    <row r="40">
      <c r="A40" s="20" t="inlineStr">
        <is>
          <t>合计</t>
        </is>
      </c>
      <c r="B40" s="20" t="n"/>
      <c r="C40" s="20">
        <f>SUM(C30:C39)</f>
        <v/>
      </c>
      <c r="D40" s="20" t="n"/>
      <c r="E40" s="20" t="n"/>
      <c r="F40" s="20">
        <f>SUM(F30:F39)</f>
        <v/>
      </c>
      <c r="G40" s="20">
        <f>SUM(G30:G39)</f>
        <v/>
      </c>
      <c r="H40" s="20" t="n"/>
      <c r="I40" s="20">
        <f>SUM(I30:I39)</f>
        <v/>
      </c>
      <c r="J40" s="20">
        <f>SUM(J30:J39)</f>
        <v/>
      </c>
      <c r="K40" s="20">
        <f>SUM(K30:K39)</f>
        <v/>
      </c>
      <c r="L40" s="20">
        <f>SUM(L30:L39)</f>
        <v/>
      </c>
      <c r="M40" s="20" t="n"/>
    </row>
    <row r="42" ht="24" customHeight="1">
      <c r="A42" s="11" t="inlineStr">
        <is>
          <t>三、销售Excel 70条底层来源明细</t>
        </is>
      </c>
    </row>
    <row r="43" ht="42" customHeight="1">
      <c r="A43" s="12" t="inlineStr">
        <is>
          <t>来源：雨瑶人员激励参半销售数据2.xlsx / Sheet1。每一行保留原Excel行号并回指结算行。</t>
        </is>
      </c>
    </row>
    <row r="44" ht="30" customHeight="1">
      <c r="A44" s="13" t="inlineStr">
        <is>
          <t>Excel行</t>
        </is>
      </c>
      <c r="B44" s="13" t="inlineStr">
        <is>
          <t>期间</t>
        </is>
      </c>
      <c r="C44" s="13" t="inlineStr">
        <is>
          <t>门店</t>
        </is>
      </c>
      <c r="D44" s="13" t="inlineStr">
        <is>
          <t>条码</t>
        </is>
      </c>
      <c r="E44" s="13" t="inlineStr">
        <is>
          <t>Excel商品</t>
        </is>
      </c>
      <c r="F44" s="13" t="inlineStr">
        <is>
          <t>销售数量</t>
        </is>
      </c>
      <c r="G44" s="13" t="inlineStr">
        <is>
          <t>销售单价</t>
        </is>
      </c>
      <c r="H44" s="13" t="inlineStr">
        <is>
          <t>结算行</t>
        </is>
      </c>
      <c r="I44" s="13" t="inlineStr">
        <is>
          <t>结算商品</t>
        </is>
      </c>
      <c r="J44" s="13" t="inlineStr">
        <is>
          <t>奖励单价</t>
        </is>
      </c>
      <c r="K44" s="13" t="inlineStr">
        <is>
          <t>本行应付奖励</t>
        </is>
      </c>
    </row>
    <row r="45" outlineLevel="1" ht="30" customHeight="1">
      <c r="A45" s="14" t="n">
        <v>2</v>
      </c>
      <c r="B45" s="14" t="inlineStr">
        <is>
          <t>5.1-5.20</t>
        </is>
      </c>
      <c r="C45" s="14" t="inlineStr">
        <is>
          <t>云朵饰品</t>
        </is>
      </c>
      <c r="D45" s="14" t="inlineStr">
        <is>
          <t>6970356164388</t>
        </is>
      </c>
      <c r="E45" s="14" t="inlineStr">
        <is>
          <t>参半臻白牙膏1+2特享装</t>
        </is>
      </c>
      <c r="F45" s="15" t="n">
        <v>44</v>
      </c>
      <c r="G45" s="17" t="n">
        <v>29.9</v>
      </c>
      <c r="H45" s="14" t="n">
        <v>4</v>
      </c>
      <c r="I45" s="14" t="inlineStr">
        <is>
          <t>1+2臻白套盒</t>
        </is>
      </c>
      <c r="J45" s="17" t="n">
        <v>3</v>
      </c>
      <c r="K45" s="18">
        <f>F45*J45</f>
        <v/>
      </c>
    </row>
    <row r="46" outlineLevel="1" ht="30" customHeight="1">
      <c r="A46" s="14" t="n">
        <v>3</v>
      </c>
      <c r="B46" s="14" t="inlineStr">
        <is>
          <t>5.1-5.20</t>
        </is>
      </c>
      <c r="C46" s="14" t="inlineStr">
        <is>
          <t>云朵饰品</t>
        </is>
      </c>
      <c r="D46" s="14" t="inlineStr">
        <is>
          <t>6970356164296</t>
        </is>
      </c>
      <c r="E46" s="14" t="inlineStr">
        <is>
          <t>参半清新牙膏120g动感薄荷</t>
        </is>
      </c>
      <c r="F46" s="15" t="n">
        <v>47</v>
      </c>
      <c r="G46" s="17" t="n">
        <v>29.9</v>
      </c>
      <c r="H46" s="14" t="n">
        <v>10</v>
      </c>
      <c r="I46" s="14" t="inlineStr">
        <is>
          <t>SP-4清新牙膏</t>
        </is>
      </c>
      <c r="J46" s="17" t="n">
        <v>3</v>
      </c>
      <c r="K46" s="18">
        <f>F46*J46</f>
        <v/>
      </c>
    </row>
    <row r="47" outlineLevel="1" ht="30" customHeight="1">
      <c r="A47" s="14" t="n">
        <v>4</v>
      </c>
      <c r="B47" s="14" t="inlineStr">
        <is>
          <t>5.1-5.20</t>
        </is>
      </c>
      <c r="C47" s="14" t="inlineStr">
        <is>
          <t>云朵饰品</t>
        </is>
      </c>
      <c r="D47" s="14" t="inlineStr">
        <is>
          <t>6970356164289</t>
        </is>
      </c>
      <c r="E47" s="14" t="inlineStr">
        <is>
          <t>参半美白牙膏120g香域茉莉味</t>
        </is>
      </c>
      <c r="F47" s="15" t="n">
        <v>36</v>
      </c>
      <c r="G47" s="17" t="n">
        <v>29.9</v>
      </c>
      <c r="H47" s="14" t="n">
        <v>9</v>
      </c>
      <c r="I47" s="14" t="inlineStr">
        <is>
          <t>SP-4美白牙膏</t>
        </is>
      </c>
      <c r="J47" s="17" t="n">
        <v>3</v>
      </c>
      <c r="K47" s="18">
        <f>F47*J47</f>
        <v/>
      </c>
    </row>
    <row r="48" outlineLevel="1" ht="30" customHeight="1">
      <c r="A48" s="14" t="n">
        <v>5</v>
      </c>
      <c r="B48" s="14" t="inlineStr">
        <is>
          <t>5.1-5.20</t>
        </is>
      </c>
      <c r="C48" s="14" t="inlineStr">
        <is>
          <t>云朵饰品</t>
        </is>
      </c>
      <c r="D48" s="14" t="inlineStr">
        <is>
          <t>6970356166832</t>
        </is>
      </c>
      <c r="E48" s="14" t="inlineStr">
        <is>
          <t>参半羟基磷灰石牙膏100g满陇桂雨味</t>
        </is>
      </c>
      <c r="F48" s="15" t="n">
        <v>22</v>
      </c>
      <c r="G48" s="17" t="n">
        <v>24.9</v>
      </c>
      <c r="H48" s="14" t="n">
        <v>1</v>
      </c>
      <c r="I48" s="14" t="inlineStr">
        <is>
          <t>羟基磷灰石修复牙膏</t>
        </is>
      </c>
      <c r="J48" s="17" t="n">
        <v>3</v>
      </c>
      <c r="K48" s="18">
        <f>F48*J48</f>
        <v/>
      </c>
    </row>
    <row r="49" outlineLevel="1" ht="30" customHeight="1">
      <c r="A49" s="14" t="n">
        <v>6</v>
      </c>
      <c r="B49" s="14" t="inlineStr">
        <is>
          <t>5.1-5.20</t>
        </is>
      </c>
      <c r="C49" s="14" t="inlineStr">
        <is>
          <t>云朵饰品</t>
        </is>
      </c>
      <c r="D49" s="14" t="inlineStr">
        <is>
          <t>6970356162391</t>
        </is>
      </c>
      <c r="E49" s="14" t="inlineStr">
        <is>
          <t>参半沸石净齿牙膏140g清新苍兰</t>
        </is>
      </c>
      <c r="F49" s="15" t="n">
        <v>48</v>
      </c>
      <c r="G49" s="17" t="n">
        <v>29.9</v>
      </c>
      <c r="H49" s="14" t="n">
        <v>2</v>
      </c>
      <c r="I49" s="14" t="inlineStr">
        <is>
          <t>沸石净齿牙膏</t>
        </is>
      </c>
      <c r="J49" s="17" t="n">
        <v>3</v>
      </c>
      <c r="K49" s="18">
        <f>F49*J49</f>
        <v/>
      </c>
    </row>
    <row r="50" outlineLevel="1" ht="30" customHeight="1">
      <c r="A50" s="14" t="n">
        <v>7</v>
      </c>
      <c r="B50" s="14" t="inlineStr">
        <is>
          <t>5.1-5.20</t>
        </is>
      </c>
      <c r="C50" s="14" t="inlineStr">
        <is>
          <t>云朵饰品</t>
        </is>
      </c>
      <c r="D50" s="14" t="inlineStr">
        <is>
          <t>6970356162810</t>
        </is>
      </c>
      <c r="E50" s="14" t="inlineStr">
        <is>
          <t>参半沸石美白牙膏140g海角雏菊</t>
        </is>
      </c>
      <c r="F50" s="15" t="n">
        <v>60</v>
      </c>
      <c r="G50" s="17" t="n">
        <v>29.9</v>
      </c>
      <c r="H50" s="14" t="n">
        <v>3</v>
      </c>
      <c r="I50" s="14" t="inlineStr">
        <is>
          <t>沸石美白牙膏</t>
        </is>
      </c>
      <c r="J50" s="17" t="n">
        <v>3</v>
      </c>
      <c r="K50" s="18">
        <f>F50*J50</f>
        <v/>
      </c>
    </row>
    <row r="51" outlineLevel="1" ht="30" customHeight="1">
      <c r="A51" s="14" t="n">
        <v>8</v>
      </c>
      <c r="B51" s="14" t="inlineStr">
        <is>
          <t>5.1-5.20</t>
        </is>
      </c>
      <c r="C51" s="14" t="inlineStr">
        <is>
          <t>云朵饰品</t>
        </is>
      </c>
      <c r="D51" s="14" t="inlineStr">
        <is>
          <t>6970356164395</t>
        </is>
      </c>
      <c r="E51" s="14" t="inlineStr">
        <is>
          <t>参半极光白酵素1+1超值装牙膏(极光白160g+龙井100g)</t>
        </is>
      </c>
      <c r="F51" s="15" t="n">
        <v>28</v>
      </c>
      <c r="G51" s="17" t="n">
        <v>19.9</v>
      </c>
      <c r="H51" s="14" t="n">
        <v>5</v>
      </c>
      <c r="I51" s="14" t="inlineStr">
        <is>
          <t>光白酵素1+1超值装牙膏</t>
        </is>
      </c>
      <c r="J51" s="17" t="n">
        <v>3</v>
      </c>
      <c r="K51" s="18">
        <f>F51*J51</f>
        <v/>
      </c>
    </row>
    <row r="52" outlineLevel="1" ht="30" customHeight="1">
      <c r="A52" s="14" t="n">
        <v>9</v>
      </c>
      <c r="B52" s="14" t="inlineStr">
        <is>
          <t>5.1-5.20</t>
        </is>
      </c>
      <c r="C52" s="14" t="inlineStr">
        <is>
          <t>云朵饰品</t>
        </is>
      </c>
      <c r="D52" s="14" t="inlineStr">
        <is>
          <t>6970356162636</t>
        </is>
      </c>
      <c r="E52" s="14" t="inlineStr">
        <is>
          <t>参半专研清新美白牙膏100g</t>
        </is>
      </c>
      <c r="F52" s="15" t="n">
        <v>18</v>
      </c>
      <c r="G52" s="17" t="n">
        <v>29.9</v>
      </c>
      <c r="H52" s="14" t="n">
        <v>8</v>
      </c>
      <c r="I52" s="14" t="inlineStr">
        <is>
          <t>专研清新美白牙膏</t>
        </is>
      </c>
      <c r="J52" s="17" t="n">
        <v>3</v>
      </c>
      <c r="K52" s="18">
        <f>F52*J52</f>
        <v/>
      </c>
    </row>
    <row r="53" outlineLevel="1" ht="30" customHeight="1">
      <c r="A53" s="14" t="n">
        <v>10</v>
      </c>
      <c r="B53" s="14" t="inlineStr">
        <is>
          <t>5.1-5.20</t>
        </is>
      </c>
      <c r="C53" s="14" t="inlineStr">
        <is>
          <t>云朵饰品</t>
        </is>
      </c>
      <c r="D53" s="14" t="inlineStr">
        <is>
          <t>6970356169338</t>
        </is>
      </c>
      <c r="E53" s="14" t="inlineStr">
        <is>
          <t>参半可益白牙膏葡萄知梨120g</t>
        </is>
      </c>
      <c r="F53" s="15" t="n">
        <v>18</v>
      </c>
      <c r="G53" s="17" t="n">
        <v>29.9</v>
      </c>
      <c r="H53" s="14" t="n">
        <v>6</v>
      </c>
      <c r="I53" s="14" t="inlineStr">
        <is>
          <t>可益白牙膏葡萄知梨牙膏</t>
        </is>
      </c>
      <c r="J53" s="17" t="n">
        <v>3</v>
      </c>
      <c r="K53" s="18">
        <f>F53*J53</f>
        <v/>
      </c>
    </row>
    <row r="54" outlineLevel="1" ht="30" customHeight="1">
      <c r="A54" s="14" t="n">
        <v>11</v>
      </c>
      <c r="B54" s="14" t="inlineStr">
        <is>
          <t>5.1-5.20</t>
        </is>
      </c>
      <c r="C54" s="14" t="inlineStr">
        <is>
          <t>云朵饰品</t>
        </is>
      </c>
      <c r="D54" s="14" t="inlineStr">
        <is>
          <t>6970356169321</t>
        </is>
      </c>
      <c r="E54" s="14" t="inlineStr">
        <is>
          <t>参半可益清牙膏葡见茶爽120g</t>
        </is>
      </c>
      <c r="F54" s="15" t="n">
        <v>24</v>
      </c>
      <c r="G54" s="17" t="n">
        <v>29.9</v>
      </c>
      <c r="H54" s="14" t="n">
        <v>7</v>
      </c>
      <c r="I54" s="14" t="inlineStr">
        <is>
          <t>可益清牙膏葡见茶爽牙膏</t>
        </is>
      </c>
      <c r="J54" s="17" t="n">
        <v>3</v>
      </c>
      <c r="K54" s="18">
        <f>F54*J54</f>
        <v/>
      </c>
    </row>
    <row r="55" outlineLevel="1" ht="30" customHeight="1">
      <c r="A55" s="14" t="n">
        <v>14</v>
      </c>
      <c r="B55" s="14" t="inlineStr">
        <is>
          <t>5.1-5.20</t>
        </is>
      </c>
      <c r="C55" s="14" t="inlineStr">
        <is>
          <t>红梅名妆</t>
        </is>
      </c>
      <c r="D55" s="14" t="inlineStr">
        <is>
          <t>6970356164388</t>
        </is>
      </c>
      <c r="E55" s="14" t="inlineStr">
        <is>
          <t>参半臻白牙膏1+2特享装</t>
        </is>
      </c>
      <c r="F55" s="15" t="n">
        <v>42</v>
      </c>
      <c r="G55" s="17" t="n">
        <v>29.9</v>
      </c>
      <c r="H55" s="14" t="n">
        <v>4</v>
      </c>
      <c r="I55" s="14" t="inlineStr">
        <is>
          <t>1+2臻白套盒</t>
        </is>
      </c>
      <c r="J55" s="17" t="n">
        <v>3</v>
      </c>
      <c r="K55" s="18">
        <f>F55*J55</f>
        <v/>
      </c>
    </row>
    <row r="56" outlineLevel="1" ht="30" customHeight="1">
      <c r="A56" s="14" t="n">
        <v>15</v>
      </c>
      <c r="B56" s="14" t="inlineStr">
        <is>
          <t>5.1-5.20</t>
        </is>
      </c>
      <c r="C56" s="14" t="inlineStr">
        <is>
          <t>红梅名妆</t>
        </is>
      </c>
      <c r="D56" s="14" t="inlineStr">
        <is>
          <t>6970356164296</t>
        </is>
      </c>
      <c r="E56" s="14" t="inlineStr">
        <is>
          <t>参半清新牙膏120g动感薄荷</t>
        </is>
      </c>
      <c r="F56" s="15" t="n">
        <v>23</v>
      </c>
      <c r="G56" s="17" t="n">
        <v>29.9</v>
      </c>
      <c r="H56" s="14" t="n">
        <v>10</v>
      </c>
      <c r="I56" s="14" t="inlineStr">
        <is>
          <t>SP-4清新牙膏</t>
        </is>
      </c>
      <c r="J56" s="17" t="n">
        <v>3</v>
      </c>
      <c r="K56" s="18">
        <f>F56*J56</f>
        <v/>
      </c>
    </row>
    <row r="57" outlineLevel="1" ht="30" customHeight="1">
      <c r="A57" s="14" t="n">
        <v>16</v>
      </c>
      <c r="B57" s="14" t="inlineStr">
        <is>
          <t>5.1-5.20</t>
        </is>
      </c>
      <c r="C57" s="14" t="inlineStr">
        <is>
          <t>红梅名妆</t>
        </is>
      </c>
      <c r="D57" s="14" t="inlineStr">
        <is>
          <t>6970356164289</t>
        </is>
      </c>
      <c r="E57" s="14" t="inlineStr">
        <is>
          <t>参半美白牙膏120g香域茉莉味</t>
        </is>
      </c>
      <c r="F57" s="15" t="n">
        <v>24</v>
      </c>
      <c r="G57" s="17" t="n">
        <v>29.9</v>
      </c>
      <c r="H57" s="14" t="n">
        <v>9</v>
      </c>
      <c r="I57" s="14" t="inlineStr">
        <is>
          <t>SP-4美白牙膏</t>
        </is>
      </c>
      <c r="J57" s="17" t="n">
        <v>3</v>
      </c>
      <c r="K57" s="18">
        <f>F57*J57</f>
        <v/>
      </c>
    </row>
    <row r="58" outlineLevel="1" ht="30" customHeight="1">
      <c r="A58" s="14" t="n">
        <v>17</v>
      </c>
      <c r="B58" s="14" t="inlineStr">
        <is>
          <t>5.1-5.20</t>
        </is>
      </c>
      <c r="C58" s="14" t="inlineStr">
        <is>
          <t>红梅名妆</t>
        </is>
      </c>
      <c r="D58" s="14" t="inlineStr">
        <is>
          <t>6970356166832</t>
        </is>
      </c>
      <c r="E58" s="14" t="inlineStr">
        <is>
          <t>参半羟基磷灰石牙膏100g满陇桂雨味</t>
        </is>
      </c>
      <c r="F58" s="15" t="n">
        <v>48</v>
      </c>
      <c r="G58" s="17" t="n">
        <v>24.9</v>
      </c>
      <c r="H58" s="14" t="n">
        <v>1</v>
      </c>
      <c r="I58" s="14" t="inlineStr">
        <is>
          <t>羟基磷灰石修复牙膏</t>
        </is>
      </c>
      <c r="J58" s="17" t="n">
        <v>3</v>
      </c>
      <c r="K58" s="18">
        <f>F58*J58</f>
        <v/>
      </c>
    </row>
    <row r="59" outlineLevel="1" ht="30" customHeight="1">
      <c r="A59" s="14" t="n">
        <v>18</v>
      </c>
      <c r="B59" s="14" t="inlineStr">
        <is>
          <t>5.1-5.20</t>
        </is>
      </c>
      <c r="C59" s="14" t="inlineStr">
        <is>
          <t>红梅名妆</t>
        </is>
      </c>
      <c r="D59" s="14" t="inlineStr">
        <is>
          <t>6970356162391</t>
        </is>
      </c>
      <c r="E59" s="14" t="inlineStr">
        <is>
          <t>参半沸石净齿牙膏140g清新苍兰</t>
        </is>
      </c>
      <c r="F59" s="15" t="n">
        <v>28</v>
      </c>
      <c r="G59" s="17" t="n">
        <v>29.9</v>
      </c>
      <c r="H59" s="14" t="n">
        <v>2</v>
      </c>
      <c r="I59" s="14" t="inlineStr">
        <is>
          <t>沸石净齿牙膏</t>
        </is>
      </c>
      <c r="J59" s="17" t="n">
        <v>3</v>
      </c>
      <c r="K59" s="18">
        <f>F59*J59</f>
        <v/>
      </c>
    </row>
    <row r="60" outlineLevel="1" ht="30" customHeight="1">
      <c r="A60" s="14" t="n">
        <v>19</v>
      </c>
      <c r="B60" s="14" t="inlineStr">
        <is>
          <t>5.1-5.20</t>
        </is>
      </c>
      <c r="C60" s="14" t="inlineStr">
        <is>
          <t>红梅名妆</t>
        </is>
      </c>
      <c r="D60" s="14" t="inlineStr">
        <is>
          <t>6970356162810</t>
        </is>
      </c>
      <c r="E60" s="14" t="inlineStr">
        <is>
          <t>参半沸石美白牙膏140g海角雏菊</t>
        </is>
      </c>
      <c r="F60" s="15" t="n">
        <v>36</v>
      </c>
      <c r="G60" s="17" t="n">
        <v>29.9</v>
      </c>
      <c r="H60" s="14" t="n">
        <v>3</v>
      </c>
      <c r="I60" s="14" t="inlineStr">
        <is>
          <t>沸石美白牙膏</t>
        </is>
      </c>
      <c r="J60" s="17" t="n">
        <v>3</v>
      </c>
      <c r="K60" s="18">
        <f>F60*J60</f>
        <v/>
      </c>
    </row>
    <row r="61" outlineLevel="1" ht="30" customHeight="1">
      <c r="A61" s="14" t="n">
        <v>20</v>
      </c>
      <c r="B61" s="14" t="inlineStr">
        <is>
          <t>5.1-5.20</t>
        </is>
      </c>
      <c r="C61" s="14" t="inlineStr">
        <is>
          <t>红梅名妆</t>
        </is>
      </c>
      <c r="D61" s="14" t="inlineStr">
        <is>
          <t>6970356164395</t>
        </is>
      </c>
      <c r="E61" s="14" t="inlineStr">
        <is>
          <t>参半极光白酵素1+1超值装牙膏(极光白160g+龙井100g)</t>
        </is>
      </c>
      <c r="F61" s="15" t="n">
        <v>42</v>
      </c>
      <c r="G61" s="17" t="n">
        <v>19.9</v>
      </c>
      <c r="H61" s="14" t="n">
        <v>5</v>
      </c>
      <c r="I61" s="14" t="inlineStr">
        <is>
          <t>光白酵素1+1超值装牙膏</t>
        </is>
      </c>
      <c r="J61" s="17" t="n">
        <v>3</v>
      </c>
      <c r="K61" s="18">
        <f>F61*J61</f>
        <v/>
      </c>
    </row>
    <row r="62" outlineLevel="1" ht="30" customHeight="1">
      <c r="A62" s="14" t="n">
        <v>21</v>
      </c>
      <c r="B62" s="14" t="inlineStr">
        <is>
          <t>5.1-5.20</t>
        </is>
      </c>
      <c r="C62" s="14" t="inlineStr">
        <is>
          <t>红梅名妆</t>
        </is>
      </c>
      <c r="D62" s="14" t="inlineStr">
        <is>
          <t>6970356162636</t>
        </is>
      </c>
      <c r="E62" s="14" t="inlineStr">
        <is>
          <t>参半专研清新美白牙膏100g</t>
        </is>
      </c>
      <c r="F62" s="15" t="n">
        <v>36</v>
      </c>
      <c r="G62" s="17" t="n">
        <v>29.9</v>
      </c>
      <c r="H62" s="14" t="n">
        <v>8</v>
      </c>
      <c r="I62" s="14" t="inlineStr">
        <is>
          <t>专研清新美白牙膏</t>
        </is>
      </c>
      <c r="J62" s="17" t="n">
        <v>3</v>
      </c>
      <c r="K62" s="18">
        <f>F62*J62</f>
        <v/>
      </c>
    </row>
    <row r="63" outlineLevel="1" ht="30" customHeight="1">
      <c r="A63" s="14" t="n">
        <v>22</v>
      </c>
      <c r="B63" s="14" t="inlineStr">
        <is>
          <t>5.1-5.20</t>
        </is>
      </c>
      <c r="C63" s="14" t="inlineStr">
        <is>
          <t>红梅名妆</t>
        </is>
      </c>
      <c r="D63" s="14" t="inlineStr">
        <is>
          <t>6970356169338</t>
        </is>
      </c>
      <c r="E63" s="14" t="inlineStr">
        <is>
          <t>参半可益白牙膏葡萄知梨120g</t>
        </is>
      </c>
      <c r="F63" s="15" t="n">
        <v>36</v>
      </c>
      <c r="G63" s="17" t="n">
        <v>29.9</v>
      </c>
      <c r="H63" s="14" t="n">
        <v>6</v>
      </c>
      <c r="I63" s="14" t="inlineStr">
        <is>
          <t>可益白牙膏葡萄知梨牙膏</t>
        </is>
      </c>
      <c r="J63" s="17" t="n">
        <v>3</v>
      </c>
      <c r="K63" s="18">
        <f>F63*J63</f>
        <v/>
      </c>
    </row>
    <row r="64" outlineLevel="1" ht="30" customHeight="1">
      <c r="A64" s="14" t="n">
        <v>23</v>
      </c>
      <c r="B64" s="14" t="inlineStr">
        <is>
          <t>5.1-5.20</t>
        </is>
      </c>
      <c r="C64" s="14" t="inlineStr">
        <is>
          <t>红梅名妆</t>
        </is>
      </c>
      <c r="D64" s="14" t="inlineStr">
        <is>
          <t>6970356169321</t>
        </is>
      </c>
      <c r="E64" s="14" t="inlineStr">
        <is>
          <t>参半可益清牙膏葡见茶爽120g</t>
        </is>
      </c>
      <c r="F64" s="15" t="n">
        <v>37</v>
      </c>
      <c r="G64" s="17" t="n">
        <v>29.9</v>
      </c>
      <c r="H64" s="14" t="n">
        <v>7</v>
      </c>
      <c r="I64" s="14" t="inlineStr">
        <is>
          <t>可益清牙膏葡见茶爽牙膏</t>
        </is>
      </c>
      <c r="J64" s="17" t="n">
        <v>3</v>
      </c>
      <c r="K64" s="18">
        <f>F64*J64</f>
        <v/>
      </c>
    </row>
    <row r="65" outlineLevel="1" ht="30" customHeight="1">
      <c r="A65" s="14" t="n">
        <v>26</v>
      </c>
      <c r="B65" s="14" t="inlineStr">
        <is>
          <t>5.1-5.20</t>
        </is>
      </c>
      <c r="C65" s="14" t="inlineStr">
        <is>
          <t>丽源名妆</t>
        </is>
      </c>
      <c r="D65" s="14" t="inlineStr">
        <is>
          <t>6970356164388</t>
        </is>
      </c>
      <c r="E65" s="14" t="inlineStr">
        <is>
          <t>参半臻白牙膏1+2特享装</t>
        </is>
      </c>
      <c r="F65" s="15" t="n">
        <v>18</v>
      </c>
      <c r="G65" s="17" t="n">
        <v>29.9</v>
      </c>
      <c r="H65" s="14" t="n">
        <v>4</v>
      </c>
      <c r="I65" s="14" t="inlineStr">
        <is>
          <t>1+2臻白套盒</t>
        </is>
      </c>
      <c r="J65" s="17" t="n">
        <v>3</v>
      </c>
      <c r="K65" s="18">
        <f>F65*J65</f>
        <v/>
      </c>
    </row>
    <row r="66" outlineLevel="1" ht="30" customHeight="1">
      <c r="A66" s="14" t="n">
        <v>27</v>
      </c>
      <c r="B66" s="14" t="inlineStr">
        <is>
          <t>5.1-5.20</t>
        </is>
      </c>
      <c r="C66" s="14" t="inlineStr">
        <is>
          <t>丽源名妆</t>
        </is>
      </c>
      <c r="D66" s="14" t="inlineStr">
        <is>
          <t>6970356164296</t>
        </is>
      </c>
      <c r="E66" s="14" t="inlineStr">
        <is>
          <t>参半清新牙膏120g动感薄荷</t>
        </is>
      </c>
      <c r="F66" s="15" t="n">
        <v>48</v>
      </c>
      <c r="G66" s="17" t="n">
        <v>29.9</v>
      </c>
      <c r="H66" s="14" t="n">
        <v>10</v>
      </c>
      <c r="I66" s="14" t="inlineStr">
        <is>
          <t>SP-4清新牙膏</t>
        </is>
      </c>
      <c r="J66" s="17" t="n">
        <v>3</v>
      </c>
      <c r="K66" s="18">
        <f>F66*J66</f>
        <v/>
      </c>
    </row>
    <row r="67" outlineLevel="1" ht="30" customHeight="1">
      <c r="A67" s="14" t="n">
        <v>28</v>
      </c>
      <c r="B67" s="14" t="inlineStr">
        <is>
          <t>5.1-5.20</t>
        </is>
      </c>
      <c r="C67" s="14" t="inlineStr">
        <is>
          <t>丽源名妆</t>
        </is>
      </c>
      <c r="D67" s="14" t="inlineStr">
        <is>
          <t>6970356164289</t>
        </is>
      </c>
      <c r="E67" s="14" t="inlineStr">
        <is>
          <t>参半美白牙膏120g香域茉莉味</t>
        </is>
      </c>
      <c r="F67" s="15" t="n">
        <v>24</v>
      </c>
      <c r="G67" s="17" t="n">
        <v>29.9</v>
      </c>
      <c r="H67" s="14" t="n">
        <v>9</v>
      </c>
      <c r="I67" s="14" t="inlineStr">
        <is>
          <t>SP-4美白牙膏</t>
        </is>
      </c>
      <c r="J67" s="17" t="n">
        <v>3</v>
      </c>
      <c r="K67" s="18">
        <f>F67*J67</f>
        <v/>
      </c>
    </row>
    <row r="68" outlineLevel="1" ht="30" customHeight="1">
      <c r="A68" s="14" t="n">
        <v>29</v>
      </c>
      <c r="B68" s="14" t="inlineStr">
        <is>
          <t>5.1-5.20</t>
        </is>
      </c>
      <c r="C68" s="14" t="inlineStr">
        <is>
          <t>丽源名妆</t>
        </is>
      </c>
      <c r="D68" s="14" t="inlineStr">
        <is>
          <t>6970356166832</t>
        </is>
      </c>
      <c r="E68" s="14" t="inlineStr">
        <is>
          <t>参半羟基磷灰石牙膏100g满陇桂雨味</t>
        </is>
      </c>
      <c r="F68" s="15" t="n">
        <v>27</v>
      </c>
      <c r="G68" s="17" t="n">
        <v>24.9</v>
      </c>
      <c r="H68" s="14" t="n">
        <v>1</v>
      </c>
      <c r="I68" s="14" t="inlineStr">
        <is>
          <t>羟基磷灰石修复牙膏</t>
        </is>
      </c>
      <c r="J68" s="17" t="n">
        <v>3</v>
      </c>
      <c r="K68" s="18">
        <f>F68*J68</f>
        <v/>
      </c>
    </row>
    <row r="69" outlineLevel="1" ht="30" customHeight="1">
      <c r="A69" s="14" t="n">
        <v>30</v>
      </c>
      <c r="B69" s="14" t="inlineStr">
        <is>
          <t>5.1-5.20</t>
        </is>
      </c>
      <c r="C69" s="14" t="inlineStr">
        <is>
          <t>丽源名妆</t>
        </is>
      </c>
      <c r="D69" s="14" t="inlineStr">
        <is>
          <t>6970356162391</t>
        </is>
      </c>
      <c r="E69" s="14" t="inlineStr">
        <is>
          <t>参半沸石净齿牙膏140g清新苍兰</t>
        </is>
      </c>
      <c r="F69" s="15" t="n">
        <v>33</v>
      </c>
      <c r="G69" s="17" t="n">
        <v>29.9</v>
      </c>
      <c r="H69" s="14" t="n">
        <v>2</v>
      </c>
      <c r="I69" s="14" t="inlineStr">
        <is>
          <t>沸石净齿牙膏</t>
        </is>
      </c>
      <c r="J69" s="17" t="n">
        <v>3</v>
      </c>
      <c r="K69" s="18">
        <f>F69*J69</f>
        <v/>
      </c>
    </row>
    <row r="70" outlineLevel="1" ht="30" customHeight="1">
      <c r="A70" s="14" t="n">
        <v>31</v>
      </c>
      <c r="B70" s="14" t="inlineStr">
        <is>
          <t>5.1-5.20</t>
        </is>
      </c>
      <c r="C70" s="14" t="inlineStr">
        <is>
          <t>丽源名妆</t>
        </is>
      </c>
      <c r="D70" s="14" t="inlineStr">
        <is>
          <t>6970356162810</t>
        </is>
      </c>
      <c r="E70" s="14" t="inlineStr">
        <is>
          <t>参半沸石美白牙膏140g海角雏菊</t>
        </is>
      </c>
      <c r="F70" s="15" t="n">
        <v>36</v>
      </c>
      <c r="G70" s="17" t="n">
        <v>29.9</v>
      </c>
      <c r="H70" s="14" t="n">
        <v>3</v>
      </c>
      <c r="I70" s="14" t="inlineStr">
        <is>
          <t>沸石美白牙膏</t>
        </is>
      </c>
      <c r="J70" s="17" t="n">
        <v>3</v>
      </c>
      <c r="K70" s="18">
        <f>F70*J70</f>
        <v/>
      </c>
    </row>
    <row r="71" outlineLevel="1" ht="30" customHeight="1">
      <c r="A71" s="14" t="n">
        <v>32</v>
      </c>
      <c r="B71" s="14" t="inlineStr">
        <is>
          <t>5.1-5.20</t>
        </is>
      </c>
      <c r="C71" s="14" t="inlineStr">
        <is>
          <t>丽源名妆</t>
        </is>
      </c>
      <c r="D71" s="14" t="inlineStr">
        <is>
          <t>6970356164395</t>
        </is>
      </c>
      <c r="E71" s="14" t="inlineStr">
        <is>
          <t>参半极光白酵素1+1超值装牙膏(极光白160g+龙井100g)</t>
        </is>
      </c>
      <c r="F71" s="15" t="n">
        <v>46</v>
      </c>
      <c r="G71" s="17" t="n">
        <v>19.9</v>
      </c>
      <c r="H71" s="14" t="n">
        <v>5</v>
      </c>
      <c r="I71" s="14" t="inlineStr">
        <is>
          <t>光白酵素1+1超值装牙膏</t>
        </is>
      </c>
      <c r="J71" s="17" t="n">
        <v>3</v>
      </c>
      <c r="K71" s="18">
        <f>F71*J71</f>
        <v/>
      </c>
    </row>
    <row r="72" outlineLevel="1" ht="30" customHeight="1">
      <c r="A72" s="14" t="n">
        <v>33</v>
      </c>
      <c r="B72" s="14" t="inlineStr">
        <is>
          <t>5.1-5.20</t>
        </is>
      </c>
      <c r="C72" s="14" t="inlineStr">
        <is>
          <t>丽源名妆</t>
        </is>
      </c>
      <c r="D72" s="14" t="inlineStr">
        <is>
          <t>6970356162636</t>
        </is>
      </c>
      <c r="E72" s="14" t="inlineStr">
        <is>
          <t>参半专研清新美白牙膏100g</t>
        </is>
      </c>
      <c r="F72" s="15" t="n">
        <v>48</v>
      </c>
      <c r="G72" s="17" t="n">
        <v>29.9</v>
      </c>
      <c r="H72" s="14" t="n">
        <v>8</v>
      </c>
      <c r="I72" s="14" t="inlineStr">
        <is>
          <t>专研清新美白牙膏</t>
        </is>
      </c>
      <c r="J72" s="17" t="n">
        <v>3</v>
      </c>
      <c r="K72" s="18">
        <f>F72*J72</f>
        <v/>
      </c>
    </row>
    <row r="73" outlineLevel="1" ht="30" customHeight="1">
      <c r="A73" s="14" t="n">
        <v>34</v>
      </c>
      <c r="B73" s="14" t="inlineStr">
        <is>
          <t>5.1-5.20</t>
        </is>
      </c>
      <c r="C73" s="14" t="inlineStr">
        <is>
          <t>丽源名妆</t>
        </is>
      </c>
      <c r="D73" s="14" t="inlineStr">
        <is>
          <t>6970356169338</t>
        </is>
      </c>
      <c r="E73" s="14" t="inlineStr">
        <is>
          <t>参半可益白牙膏葡萄知梨120g</t>
        </is>
      </c>
      <c r="F73" s="15" t="n">
        <v>36</v>
      </c>
      <c r="G73" s="17" t="n">
        <v>29.9</v>
      </c>
      <c r="H73" s="14" t="n">
        <v>6</v>
      </c>
      <c r="I73" s="14" t="inlineStr">
        <is>
          <t>可益白牙膏葡萄知梨牙膏</t>
        </is>
      </c>
      <c r="J73" s="17" t="n">
        <v>3</v>
      </c>
      <c r="K73" s="18">
        <f>F73*J73</f>
        <v/>
      </c>
    </row>
    <row r="74" outlineLevel="1" ht="30" customHeight="1">
      <c r="A74" s="14" t="n">
        <v>35</v>
      </c>
      <c r="B74" s="14" t="inlineStr">
        <is>
          <t>5.1-5.20</t>
        </is>
      </c>
      <c r="C74" s="14" t="inlineStr">
        <is>
          <t>丽源名妆</t>
        </is>
      </c>
      <c r="D74" s="14" t="inlineStr">
        <is>
          <t>6970356169321</t>
        </is>
      </c>
      <c r="E74" s="14" t="inlineStr">
        <is>
          <t>参半可益清牙膏葡见茶爽120g</t>
        </is>
      </c>
      <c r="F74" s="15" t="n">
        <v>28</v>
      </c>
      <c r="G74" s="17" t="n">
        <v>29.9</v>
      </c>
      <c r="H74" s="14" t="n">
        <v>7</v>
      </c>
      <c r="I74" s="14" t="inlineStr">
        <is>
          <t>可益清牙膏葡见茶爽牙膏</t>
        </is>
      </c>
      <c r="J74" s="17" t="n">
        <v>3</v>
      </c>
      <c r="K74" s="18">
        <f>F74*J74</f>
        <v/>
      </c>
    </row>
    <row r="75" outlineLevel="1" ht="30" customHeight="1">
      <c r="A75" s="14" t="n">
        <v>38</v>
      </c>
      <c r="B75" s="14" t="inlineStr">
        <is>
          <t>5.1-5.20</t>
        </is>
      </c>
      <c r="C75" s="14" t="inlineStr">
        <is>
          <t>米菲精品</t>
        </is>
      </c>
      <c r="D75" s="14" t="inlineStr">
        <is>
          <t>6970356164388</t>
        </is>
      </c>
      <c r="E75" s="14" t="inlineStr">
        <is>
          <t>参半臻白牙膏1+2特享装</t>
        </is>
      </c>
      <c r="F75" s="15" t="n">
        <v>44</v>
      </c>
      <c r="G75" s="17" t="n">
        <v>29.9</v>
      </c>
      <c r="H75" s="14" t="n">
        <v>4</v>
      </c>
      <c r="I75" s="14" t="inlineStr">
        <is>
          <t>1+2臻白套盒</t>
        </is>
      </c>
      <c r="J75" s="17" t="n">
        <v>3</v>
      </c>
      <c r="K75" s="18">
        <f>F75*J75</f>
        <v/>
      </c>
    </row>
    <row r="76" outlineLevel="1" ht="30" customHeight="1">
      <c r="A76" s="14" t="n">
        <v>39</v>
      </c>
      <c r="B76" s="14" t="inlineStr">
        <is>
          <t>5.1-5.20</t>
        </is>
      </c>
      <c r="C76" s="14" t="inlineStr">
        <is>
          <t>米菲精品</t>
        </is>
      </c>
      <c r="D76" s="14" t="inlineStr">
        <is>
          <t>6970356164296</t>
        </is>
      </c>
      <c r="E76" s="14" t="inlineStr">
        <is>
          <t>参半清新牙膏120g动感薄荷</t>
        </is>
      </c>
      <c r="F76" s="15" t="n">
        <v>36</v>
      </c>
      <c r="G76" s="17" t="n">
        <v>29.9</v>
      </c>
      <c r="H76" s="14" t="n">
        <v>10</v>
      </c>
      <c r="I76" s="14" t="inlineStr">
        <is>
          <t>SP-4清新牙膏</t>
        </is>
      </c>
      <c r="J76" s="17" t="n">
        <v>3</v>
      </c>
      <c r="K76" s="18">
        <f>F76*J76</f>
        <v/>
      </c>
    </row>
    <row r="77" outlineLevel="1" ht="30" customHeight="1">
      <c r="A77" s="14" t="n">
        <v>40</v>
      </c>
      <c r="B77" s="14" t="inlineStr">
        <is>
          <t>5.1-5.20</t>
        </is>
      </c>
      <c r="C77" s="14" t="inlineStr">
        <is>
          <t>米菲精品</t>
        </is>
      </c>
      <c r="D77" s="14" t="inlineStr">
        <is>
          <t>6970356164289</t>
        </is>
      </c>
      <c r="E77" s="14" t="inlineStr">
        <is>
          <t>参半美白牙膏120g香域茉莉味</t>
        </is>
      </c>
      <c r="F77" s="15" t="n">
        <v>24</v>
      </c>
      <c r="G77" s="17" t="n">
        <v>29.9</v>
      </c>
      <c r="H77" s="14" t="n">
        <v>9</v>
      </c>
      <c r="I77" s="14" t="inlineStr">
        <is>
          <t>SP-4美白牙膏</t>
        </is>
      </c>
      <c r="J77" s="17" t="n">
        <v>3</v>
      </c>
      <c r="K77" s="18">
        <f>F77*J77</f>
        <v/>
      </c>
    </row>
    <row r="78" outlineLevel="1" ht="30" customHeight="1">
      <c r="A78" s="14" t="n">
        <v>41</v>
      </c>
      <c r="B78" s="14" t="inlineStr">
        <is>
          <t>5.1-5.20</t>
        </is>
      </c>
      <c r="C78" s="14" t="inlineStr">
        <is>
          <t>米菲精品</t>
        </is>
      </c>
      <c r="D78" s="14" t="inlineStr">
        <is>
          <t>6970356166832</t>
        </is>
      </c>
      <c r="E78" s="14" t="inlineStr">
        <is>
          <t>参半羟基磷灰石牙膏100g满陇桂雨味</t>
        </is>
      </c>
      <c r="F78" s="15" t="n">
        <v>28</v>
      </c>
      <c r="G78" s="17" t="n">
        <v>24.9</v>
      </c>
      <c r="H78" s="14" t="n">
        <v>1</v>
      </c>
      <c r="I78" s="14" t="inlineStr">
        <is>
          <t>羟基磷灰石修复牙膏</t>
        </is>
      </c>
      <c r="J78" s="17" t="n">
        <v>3</v>
      </c>
      <c r="K78" s="18">
        <f>F78*J78</f>
        <v/>
      </c>
    </row>
    <row r="79" outlineLevel="1" ht="30" customHeight="1">
      <c r="A79" s="14" t="n">
        <v>42</v>
      </c>
      <c r="B79" s="14" t="inlineStr">
        <is>
          <t>5.1-5.20</t>
        </is>
      </c>
      <c r="C79" s="14" t="inlineStr">
        <is>
          <t>米菲精品</t>
        </is>
      </c>
      <c r="D79" s="14" t="inlineStr">
        <is>
          <t>6970356162391</t>
        </is>
      </c>
      <c r="E79" s="14" t="inlineStr">
        <is>
          <t>参半沸石净齿牙膏140g清新苍兰</t>
        </is>
      </c>
      <c r="F79" s="15" t="n">
        <v>32</v>
      </c>
      <c r="G79" s="17" t="n">
        <v>29.9</v>
      </c>
      <c r="H79" s="14" t="n">
        <v>2</v>
      </c>
      <c r="I79" s="14" t="inlineStr">
        <is>
          <t>沸石净齿牙膏</t>
        </is>
      </c>
      <c r="J79" s="17" t="n">
        <v>3</v>
      </c>
      <c r="K79" s="18">
        <f>F79*J79</f>
        <v/>
      </c>
    </row>
    <row r="80" outlineLevel="1" ht="30" customHeight="1">
      <c r="A80" s="14" t="n">
        <v>43</v>
      </c>
      <c r="B80" s="14" t="inlineStr">
        <is>
          <t>5.1-5.20</t>
        </is>
      </c>
      <c r="C80" s="14" t="inlineStr">
        <is>
          <t>米菲精品</t>
        </is>
      </c>
      <c r="D80" s="14" t="inlineStr">
        <is>
          <t>6970356162810</t>
        </is>
      </c>
      <c r="E80" s="14" t="inlineStr">
        <is>
          <t>参半沸石美白牙膏140g海角雏菊</t>
        </is>
      </c>
      <c r="F80" s="15" t="n">
        <v>28</v>
      </c>
      <c r="G80" s="17" t="n">
        <v>29.9</v>
      </c>
      <c r="H80" s="14" t="n">
        <v>3</v>
      </c>
      <c r="I80" s="14" t="inlineStr">
        <is>
          <t>沸石美白牙膏</t>
        </is>
      </c>
      <c r="J80" s="17" t="n">
        <v>3</v>
      </c>
      <c r="K80" s="18">
        <f>F80*J80</f>
        <v/>
      </c>
    </row>
    <row r="81" outlineLevel="1" ht="30" customHeight="1">
      <c r="A81" s="14" t="n">
        <v>44</v>
      </c>
      <c r="B81" s="14" t="inlineStr">
        <is>
          <t>5.1-5.20</t>
        </is>
      </c>
      <c r="C81" s="14" t="inlineStr">
        <is>
          <t>米菲精品</t>
        </is>
      </c>
      <c r="D81" s="14" t="inlineStr">
        <is>
          <t>6970356164395</t>
        </is>
      </c>
      <c r="E81" s="14" t="inlineStr">
        <is>
          <t>参半极光白酵素1+1超值装牙膏(极光白160g+龙井100g)</t>
        </is>
      </c>
      <c r="F81" s="15" t="n">
        <v>24</v>
      </c>
      <c r="G81" s="17" t="n">
        <v>19.9</v>
      </c>
      <c r="H81" s="14" t="n">
        <v>5</v>
      </c>
      <c r="I81" s="14" t="inlineStr">
        <is>
          <t>光白酵素1+1超值装牙膏</t>
        </is>
      </c>
      <c r="J81" s="17" t="n">
        <v>3</v>
      </c>
      <c r="K81" s="18">
        <f>F81*J81</f>
        <v/>
      </c>
    </row>
    <row r="82" outlineLevel="1" ht="30" customHeight="1">
      <c r="A82" s="14" t="n">
        <v>45</v>
      </c>
      <c r="B82" s="14" t="inlineStr">
        <is>
          <t>5.1-5.20</t>
        </is>
      </c>
      <c r="C82" s="14" t="inlineStr">
        <is>
          <t>米菲精品</t>
        </is>
      </c>
      <c r="D82" s="14" t="inlineStr">
        <is>
          <t>6970356162636</t>
        </is>
      </c>
      <c r="E82" s="14" t="inlineStr">
        <is>
          <t>参半专研清新美白牙膏100g</t>
        </is>
      </c>
      <c r="F82" s="15" t="n">
        <v>26</v>
      </c>
      <c r="G82" s="17" t="n">
        <v>29.9</v>
      </c>
      <c r="H82" s="14" t="n">
        <v>8</v>
      </c>
      <c r="I82" s="14" t="inlineStr">
        <is>
          <t>专研清新美白牙膏</t>
        </is>
      </c>
      <c r="J82" s="17" t="n">
        <v>3</v>
      </c>
      <c r="K82" s="18">
        <f>F82*J82</f>
        <v/>
      </c>
    </row>
    <row r="83" outlineLevel="1" ht="30" customHeight="1">
      <c r="A83" s="14" t="n">
        <v>46</v>
      </c>
      <c r="B83" s="14" t="inlineStr">
        <is>
          <t>5.1-5.20</t>
        </is>
      </c>
      <c r="C83" s="14" t="inlineStr">
        <is>
          <t>米菲精品</t>
        </is>
      </c>
      <c r="D83" s="14" t="inlineStr">
        <is>
          <t>6970356169338</t>
        </is>
      </c>
      <c r="E83" s="14" t="inlineStr">
        <is>
          <t>参半可益白牙膏葡萄知梨120g</t>
        </is>
      </c>
      <c r="F83" s="15" t="n">
        <v>48</v>
      </c>
      <c r="G83" s="17" t="n">
        <v>29.9</v>
      </c>
      <c r="H83" s="14" t="n">
        <v>6</v>
      </c>
      <c r="I83" s="14" t="inlineStr">
        <is>
          <t>可益白牙膏葡萄知梨牙膏</t>
        </is>
      </c>
      <c r="J83" s="17" t="n">
        <v>3</v>
      </c>
      <c r="K83" s="18">
        <f>F83*J83</f>
        <v/>
      </c>
    </row>
    <row r="84" outlineLevel="1" ht="30" customHeight="1">
      <c r="A84" s="14" t="n">
        <v>47</v>
      </c>
      <c r="B84" s="14" t="inlineStr">
        <is>
          <t>5.1-5.20</t>
        </is>
      </c>
      <c r="C84" s="14" t="inlineStr">
        <is>
          <t>米菲精品</t>
        </is>
      </c>
      <c r="D84" s="14" t="inlineStr">
        <is>
          <t>6970356169321</t>
        </is>
      </c>
      <c r="E84" s="14" t="inlineStr">
        <is>
          <t>参半可益清牙膏葡见茶爽120g</t>
        </is>
      </c>
      <c r="F84" s="15" t="n">
        <v>48</v>
      </c>
      <c r="G84" s="17" t="n">
        <v>29.9</v>
      </c>
      <c r="H84" s="14" t="n">
        <v>7</v>
      </c>
      <c r="I84" s="14" t="inlineStr">
        <is>
          <t>可益清牙膏葡见茶爽牙膏</t>
        </is>
      </c>
      <c r="J84" s="17" t="n">
        <v>3</v>
      </c>
      <c r="K84" s="18">
        <f>F84*J84</f>
        <v/>
      </c>
    </row>
    <row r="85" outlineLevel="1" ht="30" customHeight="1">
      <c r="A85" s="14" t="n">
        <v>50</v>
      </c>
      <c r="B85" s="14" t="inlineStr">
        <is>
          <t>5.1-5.20</t>
        </is>
      </c>
      <c r="C85" s="14" t="inlineStr">
        <is>
          <t>桐贝美妆</t>
        </is>
      </c>
      <c r="D85" s="14" t="inlineStr">
        <is>
          <t>6970356164388</t>
        </is>
      </c>
      <c r="E85" s="14" t="inlineStr">
        <is>
          <t>参半臻白牙膏1+2特享装</t>
        </is>
      </c>
      <c r="F85" s="15" t="n">
        <v>36</v>
      </c>
      <c r="G85" s="17" t="n">
        <v>29.9</v>
      </c>
      <c r="H85" s="14" t="n">
        <v>4</v>
      </c>
      <c r="I85" s="14" t="inlineStr">
        <is>
          <t>1+2臻白套盒</t>
        </is>
      </c>
      <c r="J85" s="17" t="n">
        <v>3</v>
      </c>
      <c r="K85" s="18">
        <f>F85*J85</f>
        <v/>
      </c>
    </row>
    <row r="86" outlineLevel="1" ht="30" customHeight="1">
      <c r="A86" s="14" t="n">
        <v>51</v>
      </c>
      <c r="B86" s="14" t="inlineStr">
        <is>
          <t>5.1-5.20</t>
        </is>
      </c>
      <c r="C86" s="14" t="inlineStr">
        <is>
          <t>桐贝美妆</t>
        </is>
      </c>
      <c r="D86" s="14" t="inlineStr">
        <is>
          <t>6970356164296</t>
        </is>
      </c>
      <c r="E86" s="14" t="inlineStr">
        <is>
          <t>参半清新牙膏120g动感薄荷</t>
        </is>
      </c>
      <c r="F86" s="15" t="n">
        <v>18</v>
      </c>
      <c r="G86" s="17" t="n">
        <v>29.9</v>
      </c>
      <c r="H86" s="14" t="n">
        <v>10</v>
      </c>
      <c r="I86" s="14" t="inlineStr">
        <is>
          <t>SP-4清新牙膏</t>
        </is>
      </c>
      <c r="J86" s="17" t="n">
        <v>3</v>
      </c>
      <c r="K86" s="18">
        <f>F86*J86</f>
        <v/>
      </c>
    </row>
    <row r="87" outlineLevel="1" ht="30" customHeight="1">
      <c r="A87" s="14" t="n">
        <v>52</v>
      </c>
      <c r="B87" s="14" t="inlineStr">
        <is>
          <t>5.1-5.20</t>
        </is>
      </c>
      <c r="C87" s="14" t="inlineStr">
        <is>
          <t>桐贝美妆</t>
        </is>
      </c>
      <c r="D87" s="14" t="inlineStr">
        <is>
          <t>6970356164289</t>
        </is>
      </c>
      <c r="E87" s="14" t="inlineStr">
        <is>
          <t>参半美白牙膏120g香域茉莉味</t>
        </is>
      </c>
      <c r="F87" s="15" t="n">
        <v>18</v>
      </c>
      <c r="G87" s="17" t="n">
        <v>29.9</v>
      </c>
      <c r="H87" s="14" t="n">
        <v>9</v>
      </c>
      <c r="I87" s="14" t="inlineStr">
        <is>
          <t>SP-4美白牙膏</t>
        </is>
      </c>
      <c r="J87" s="17" t="n">
        <v>3</v>
      </c>
      <c r="K87" s="18">
        <f>F87*J87</f>
        <v/>
      </c>
    </row>
    <row r="88" outlineLevel="1" ht="30" customHeight="1">
      <c r="A88" s="14" t="n">
        <v>53</v>
      </c>
      <c r="B88" s="14" t="inlineStr">
        <is>
          <t>5.1-5.20</t>
        </is>
      </c>
      <c r="C88" s="14" t="inlineStr">
        <is>
          <t>桐贝美妆</t>
        </is>
      </c>
      <c r="D88" s="14" t="inlineStr">
        <is>
          <t>6970356166832</t>
        </is>
      </c>
      <c r="E88" s="14" t="inlineStr">
        <is>
          <t>参半羟基磷灰石牙膏100g满陇桂雨味</t>
        </is>
      </c>
      <c r="F88" s="15" t="n">
        <v>48</v>
      </c>
      <c r="G88" s="17" t="n">
        <v>24.9</v>
      </c>
      <c r="H88" s="14" t="n">
        <v>1</v>
      </c>
      <c r="I88" s="14" t="inlineStr">
        <is>
          <t>羟基磷灰石修复牙膏</t>
        </is>
      </c>
      <c r="J88" s="17" t="n">
        <v>3</v>
      </c>
      <c r="K88" s="18">
        <f>F88*J88</f>
        <v/>
      </c>
    </row>
    <row r="89" outlineLevel="1" ht="30" customHeight="1">
      <c r="A89" s="14" t="n">
        <v>54</v>
      </c>
      <c r="B89" s="14" t="inlineStr">
        <is>
          <t>5.1-5.20</t>
        </is>
      </c>
      <c r="C89" s="14" t="inlineStr">
        <is>
          <t>桐贝美妆</t>
        </is>
      </c>
      <c r="D89" s="14" t="inlineStr">
        <is>
          <t>6970356162391</t>
        </is>
      </c>
      <c r="E89" s="14" t="inlineStr">
        <is>
          <t>参半沸石净齿牙膏140g清新苍兰</t>
        </is>
      </c>
      <c r="F89" s="15" t="n">
        <v>48</v>
      </c>
      <c r="G89" s="17" t="n">
        <v>29.9</v>
      </c>
      <c r="H89" s="14" t="n">
        <v>2</v>
      </c>
      <c r="I89" s="14" t="inlineStr">
        <is>
          <t>沸石净齿牙膏</t>
        </is>
      </c>
      <c r="J89" s="17" t="n">
        <v>3</v>
      </c>
      <c r="K89" s="18">
        <f>F89*J89</f>
        <v/>
      </c>
    </row>
    <row r="90" outlineLevel="1" ht="30" customHeight="1">
      <c r="A90" s="14" t="n">
        <v>55</v>
      </c>
      <c r="B90" s="14" t="inlineStr">
        <is>
          <t>5.1-5.20</t>
        </is>
      </c>
      <c r="C90" s="14" t="inlineStr">
        <is>
          <t>桐贝美妆</t>
        </is>
      </c>
      <c r="D90" s="14" t="inlineStr">
        <is>
          <t>6970356162810</t>
        </is>
      </c>
      <c r="E90" s="14" t="inlineStr">
        <is>
          <t>参半沸石美白牙膏140g海角雏菊</t>
        </is>
      </c>
      <c r="F90" s="15" t="n">
        <v>47</v>
      </c>
      <c r="G90" s="17" t="n">
        <v>29.9</v>
      </c>
      <c r="H90" s="14" t="n">
        <v>3</v>
      </c>
      <c r="I90" s="14" t="inlineStr">
        <is>
          <t>沸石美白牙膏</t>
        </is>
      </c>
      <c r="J90" s="17" t="n">
        <v>3</v>
      </c>
      <c r="K90" s="18">
        <f>F90*J90</f>
        <v/>
      </c>
    </row>
    <row r="91" outlineLevel="1" ht="30" customHeight="1">
      <c r="A91" s="14" t="n">
        <v>56</v>
      </c>
      <c r="B91" s="14" t="inlineStr">
        <is>
          <t>5.1-5.20</t>
        </is>
      </c>
      <c r="C91" s="14" t="inlineStr">
        <is>
          <t>桐贝美妆</t>
        </is>
      </c>
      <c r="D91" s="14" t="inlineStr">
        <is>
          <t>6970356164395</t>
        </is>
      </c>
      <c r="E91" s="14" t="inlineStr">
        <is>
          <t>参半极光白酵素1+1超值装牙膏(极光白160g+龙井100g)</t>
        </is>
      </c>
      <c r="F91" s="15" t="n">
        <v>25</v>
      </c>
      <c r="G91" s="17" t="n">
        <v>19.9</v>
      </c>
      <c r="H91" s="14" t="n">
        <v>5</v>
      </c>
      <c r="I91" s="14" t="inlineStr">
        <is>
          <t>光白酵素1+1超值装牙膏</t>
        </is>
      </c>
      <c r="J91" s="17" t="n">
        <v>3</v>
      </c>
      <c r="K91" s="18">
        <f>F91*J91</f>
        <v/>
      </c>
    </row>
    <row r="92" outlineLevel="1" ht="30" customHeight="1">
      <c r="A92" s="14" t="n">
        <v>57</v>
      </c>
      <c r="B92" s="14" t="inlineStr">
        <is>
          <t>5.1-5.20</t>
        </is>
      </c>
      <c r="C92" s="14" t="inlineStr">
        <is>
          <t>桐贝美妆</t>
        </is>
      </c>
      <c r="D92" s="14" t="inlineStr">
        <is>
          <t>6970356162636</t>
        </is>
      </c>
      <c r="E92" s="14" t="inlineStr">
        <is>
          <t>参半专研清新美白牙膏100g</t>
        </is>
      </c>
      <c r="F92" s="15" t="n">
        <v>60</v>
      </c>
      <c r="G92" s="17" t="n">
        <v>29.9</v>
      </c>
      <c r="H92" s="14" t="n">
        <v>8</v>
      </c>
      <c r="I92" s="14" t="inlineStr">
        <is>
          <t>专研清新美白牙膏</t>
        </is>
      </c>
      <c r="J92" s="17" t="n">
        <v>3</v>
      </c>
      <c r="K92" s="18">
        <f>F92*J92</f>
        <v/>
      </c>
    </row>
    <row r="93" outlineLevel="1" ht="30" customHeight="1">
      <c r="A93" s="14" t="n">
        <v>58</v>
      </c>
      <c r="B93" s="14" t="inlineStr">
        <is>
          <t>5.1-5.20</t>
        </is>
      </c>
      <c r="C93" s="14" t="inlineStr">
        <is>
          <t>桐贝美妆</t>
        </is>
      </c>
      <c r="D93" s="14" t="inlineStr">
        <is>
          <t>6970356169338</t>
        </is>
      </c>
      <c r="E93" s="14" t="inlineStr">
        <is>
          <t>参半可益白牙膏葡萄知梨120g</t>
        </is>
      </c>
      <c r="F93" s="15" t="n">
        <v>36</v>
      </c>
      <c r="G93" s="17" t="n">
        <v>29.9</v>
      </c>
      <c r="H93" s="14" t="n">
        <v>6</v>
      </c>
      <c r="I93" s="14" t="inlineStr">
        <is>
          <t>可益白牙膏葡萄知梨牙膏</t>
        </is>
      </c>
      <c r="J93" s="17" t="n">
        <v>3</v>
      </c>
      <c r="K93" s="18">
        <f>F93*J93</f>
        <v/>
      </c>
    </row>
    <row r="94" outlineLevel="1" ht="30" customHeight="1">
      <c r="A94" s="14" t="n">
        <v>59</v>
      </c>
      <c r="B94" s="14" t="inlineStr">
        <is>
          <t>5.1-5.20</t>
        </is>
      </c>
      <c r="C94" s="14" t="inlineStr">
        <is>
          <t>桐贝美妆</t>
        </is>
      </c>
      <c r="D94" s="14" t="inlineStr">
        <is>
          <t>6970356169321</t>
        </is>
      </c>
      <c r="E94" s="14" t="inlineStr">
        <is>
          <t>参半可益清牙膏葡见茶爽120g</t>
        </is>
      </c>
      <c r="F94" s="15" t="n">
        <v>29</v>
      </c>
      <c r="G94" s="17" t="n">
        <v>29.9</v>
      </c>
      <c r="H94" s="14" t="n">
        <v>7</v>
      </c>
      <c r="I94" s="14" t="inlineStr">
        <is>
          <t>可益清牙膏葡见茶爽牙膏</t>
        </is>
      </c>
      <c r="J94" s="17" t="n">
        <v>3</v>
      </c>
      <c r="K94" s="18">
        <f>F94*J94</f>
        <v/>
      </c>
    </row>
    <row r="95" outlineLevel="1" ht="30" customHeight="1">
      <c r="A95" s="14" t="n">
        <v>62</v>
      </c>
      <c r="B95" s="14" t="inlineStr">
        <is>
          <t>5.1-5.20</t>
        </is>
      </c>
      <c r="C95" s="14" t="inlineStr">
        <is>
          <t>时尚密码</t>
        </is>
      </c>
      <c r="D95" s="14" t="inlineStr">
        <is>
          <t>6970356164388</t>
        </is>
      </c>
      <c r="E95" s="14" t="inlineStr">
        <is>
          <t>参半臻白牙膏1+2特享装</t>
        </is>
      </c>
      <c r="F95" s="15" t="n">
        <v>24</v>
      </c>
      <c r="G95" s="17" t="n">
        <v>29.9</v>
      </c>
      <c r="H95" s="14" t="n">
        <v>4</v>
      </c>
      <c r="I95" s="14" t="inlineStr">
        <is>
          <t>1+2臻白套盒</t>
        </is>
      </c>
      <c r="J95" s="17" t="n">
        <v>3</v>
      </c>
      <c r="K95" s="18">
        <f>F95*J95</f>
        <v/>
      </c>
    </row>
    <row r="96" outlineLevel="1" ht="30" customHeight="1">
      <c r="A96" s="14" t="n">
        <v>63</v>
      </c>
      <c r="B96" s="14" t="inlineStr">
        <is>
          <t>5.1-5.20</t>
        </is>
      </c>
      <c r="C96" s="14" t="inlineStr">
        <is>
          <t>时尚密码</t>
        </is>
      </c>
      <c r="D96" s="14" t="inlineStr">
        <is>
          <t>6970356164296</t>
        </is>
      </c>
      <c r="E96" s="14" t="inlineStr">
        <is>
          <t>参半清新牙膏120g动感薄荷</t>
        </is>
      </c>
      <c r="F96" s="15" t="n">
        <v>24</v>
      </c>
      <c r="G96" s="17" t="n">
        <v>29.9</v>
      </c>
      <c r="H96" s="14" t="n">
        <v>10</v>
      </c>
      <c r="I96" s="14" t="inlineStr">
        <is>
          <t>SP-4清新牙膏</t>
        </is>
      </c>
      <c r="J96" s="17" t="n">
        <v>3</v>
      </c>
      <c r="K96" s="18">
        <f>F96*J96</f>
        <v/>
      </c>
    </row>
    <row r="97" outlineLevel="1" ht="30" customHeight="1">
      <c r="A97" s="14" t="n">
        <v>64</v>
      </c>
      <c r="B97" s="14" t="inlineStr">
        <is>
          <t>5.1-5.20</t>
        </is>
      </c>
      <c r="C97" s="14" t="inlineStr">
        <is>
          <t>时尚密码</t>
        </is>
      </c>
      <c r="D97" s="14" t="inlineStr">
        <is>
          <t>6970356164289</t>
        </is>
      </c>
      <c r="E97" s="14" t="inlineStr">
        <is>
          <t>参半美白牙膏120g香域茉莉味</t>
        </is>
      </c>
      <c r="F97" s="15" t="n">
        <v>28</v>
      </c>
      <c r="G97" s="17" t="n">
        <v>29.9</v>
      </c>
      <c r="H97" s="14" t="n">
        <v>9</v>
      </c>
      <c r="I97" s="14" t="inlineStr">
        <is>
          <t>SP-4美白牙膏</t>
        </is>
      </c>
      <c r="J97" s="17" t="n">
        <v>3</v>
      </c>
      <c r="K97" s="18">
        <f>F97*J97</f>
        <v/>
      </c>
    </row>
    <row r="98" outlineLevel="1" ht="30" customHeight="1">
      <c r="A98" s="14" t="n">
        <v>65</v>
      </c>
      <c r="B98" s="14" t="inlineStr">
        <is>
          <t>5.1-5.20</t>
        </is>
      </c>
      <c r="C98" s="14" t="inlineStr">
        <is>
          <t>时尚密码</t>
        </is>
      </c>
      <c r="D98" s="14" t="inlineStr">
        <is>
          <t>6970356166832</t>
        </is>
      </c>
      <c r="E98" s="14" t="inlineStr">
        <is>
          <t>参半羟基磷灰石牙膏100g满陇桂雨味</t>
        </is>
      </c>
      <c r="F98" s="15" t="n">
        <v>37</v>
      </c>
      <c r="G98" s="17" t="n">
        <v>24.9</v>
      </c>
      <c r="H98" s="14" t="n">
        <v>1</v>
      </c>
      <c r="I98" s="14" t="inlineStr">
        <is>
          <t>羟基磷灰石修复牙膏</t>
        </is>
      </c>
      <c r="J98" s="17" t="n">
        <v>3</v>
      </c>
      <c r="K98" s="18">
        <f>F98*J98</f>
        <v/>
      </c>
    </row>
    <row r="99" outlineLevel="1" ht="30" customHeight="1">
      <c r="A99" s="14" t="n">
        <v>66</v>
      </c>
      <c r="B99" s="14" t="inlineStr">
        <is>
          <t>5.1-5.20</t>
        </is>
      </c>
      <c r="C99" s="14" t="inlineStr">
        <is>
          <t>时尚密码</t>
        </is>
      </c>
      <c r="D99" s="14" t="inlineStr">
        <is>
          <t>6970356162391</t>
        </is>
      </c>
      <c r="E99" s="14" t="inlineStr">
        <is>
          <t>参半沸石净齿牙膏140g清新苍兰</t>
        </is>
      </c>
      <c r="F99" s="15" t="n">
        <v>49</v>
      </c>
      <c r="G99" s="17" t="n">
        <v>29.9</v>
      </c>
      <c r="H99" s="14" t="n">
        <v>2</v>
      </c>
      <c r="I99" s="14" t="inlineStr">
        <is>
          <t>沸石净齿牙膏</t>
        </is>
      </c>
      <c r="J99" s="17" t="n">
        <v>3</v>
      </c>
      <c r="K99" s="18">
        <f>F99*J99</f>
        <v/>
      </c>
    </row>
    <row r="100" outlineLevel="1" ht="30" customHeight="1">
      <c r="A100" s="14" t="n">
        <v>67</v>
      </c>
      <c r="B100" s="14" t="inlineStr">
        <is>
          <t>5.1-5.20</t>
        </is>
      </c>
      <c r="C100" s="14" t="inlineStr">
        <is>
          <t>时尚密码</t>
        </is>
      </c>
      <c r="D100" s="14" t="inlineStr">
        <is>
          <t>6970356162810</t>
        </is>
      </c>
      <c r="E100" s="14" t="inlineStr">
        <is>
          <t>参半沸石美白牙膏140g海角雏菊</t>
        </is>
      </c>
      <c r="F100" s="15" t="n">
        <v>33</v>
      </c>
      <c r="G100" s="17" t="n">
        <v>29.9</v>
      </c>
      <c r="H100" s="14" t="n">
        <v>3</v>
      </c>
      <c r="I100" s="14" t="inlineStr">
        <is>
          <t>沸石美白牙膏</t>
        </is>
      </c>
      <c r="J100" s="17" t="n">
        <v>3</v>
      </c>
      <c r="K100" s="18">
        <f>F100*J100</f>
        <v/>
      </c>
    </row>
    <row r="101" outlineLevel="1" ht="30" customHeight="1">
      <c r="A101" s="14" t="n">
        <v>68</v>
      </c>
      <c r="B101" s="14" t="inlineStr">
        <is>
          <t>5.1-5.20</t>
        </is>
      </c>
      <c r="C101" s="14" t="inlineStr">
        <is>
          <t>时尚密码</t>
        </is>
      </c>
      <c r="D101" s="14" t="inlineStr">
        <is>
          <t>6970356164395</t>
        </is>
      </c>
      <c r="E101" s="14" t="inlineStr">
        <is>
          <t>参半极光白酵素1+1超值装牙膏(极光白160g+龙井100g)</t>
        </is>
      </c>
      <c r="F101" s="15" t="n">
        <v>36</v>
      </c>
      <c r="G101" s="17" t="n">
        <v>19.9</v>
      </c>
      <c r="H101" s="14" t="n">
        <v>5</v>
      </c>
      <c r="I101" s="14" t="inlineStr">
        <is>
          <t>光白酵素1+1超值装牙膏</t>
        </is>
      </c>
      <c r="J101" s="17" t="n">
        <v>3</v>
      </c>
      <c r="K101" s="18">
        <f>F101*J101</f>
        <v/>
      </c>
    </row>
    <row r="102" outlineLevel="1" ht="30" customHeight="1">
      <c r="A102" s="14" t="n">
        <v>69</v>
      </c>
      <c r="B102" s="14" t="inlineStr">
        <is>
          <t>5.1-5.20</t>
        </is>
      </c>
      <c r="C102" s="14" t="inlineStr">
        <is>
          <t>时尚密码</t>
        </is>
      </c>
      <c r="D102" s="14" t="inlineStr">
        <is>
          <t>6970356162636</t>
        </is>
      </c>
      <c r="E102" s="14" t="inlineStr">
        <is>
          <t>参半专研清新美白牙膏100g</t>
        </is>
      </c>
      <c r="F102" s="15" t="n">
        <v>54</v>
      </c>
      <c r="G102" s="17" t="n">
        <v>29.9</v>
      </c>
      <c r="H102" s="14" t="n">
        <v>8</v>
      </c>
      <c r="I102" s="14" t="inlineStr">
        <is>
          <t>专研清新美白牙膏</t>
        </is>
      </c>
      <c r="J102" s="17" t="n">
        <v>3</v>
      </c>
      <c r="K102" s="18">
        <f>F102*J102</f>
        <v/>
      </c>
    </row>
    <row r="103" outlineLevel="1" ht="30" customHeight="1">
      <c r="A103" s="14" t="n">
        <v>70</v>
      </c>
      <c r="B103" s="14" t="inlineStr">
        <is>
          <t>5.1-5.20</t>
        </is>
      </c>
      <c r="C103" s="14" t="inlineStr">
        <is>
          <t>时尚密码</t>
        </is>
      </c>
      <c r="D103" s="14" t="inlineStr">
        <is>
          <t>6970356169338</t>
        </is>
      </c>
      <c r="E103" s="14" t="inlineStr">
        <is>
          <t>参半可益白牙膏葡萄知梨120g</t>
        </is>
      </c>
      <c r="F103" s="15" t="n">
        <v>36</v>
      </c>
      <c r="G103" s="17" t="n">
        <v>29.9</v>
      </c>
      <c r="H103" s="14" t="n">
        <v>6</v>
      </c>
      <c r="I103" s="14" t="inlineStr">
        <is>
          <t>可益白牙膏葡萄知梨牙膏</t>
        </is>
      </c>
      <c r="J103" s="17" t="n">
        <v>3</v>
      </c>
      <c r="K103" s="18">
        <f>F103*J103</f>
        <v/>
      </c>
    </row>
    <row r="104" outlineLevel="1" ht="30" customHeight="1">
      <c r="A104" s="14" t="n">
        <v>71</v>
      </c>
      <c r="B104" s="14" t="inlineStr">
        <is>
          <t>5.1-5.20</t>
        </is>
      </c>
      <c r="C104" s="14" t="inlineStr">
        <is>
          <t>时尚密码</t>
        </is>
      </c>
      <c r="D104" s="14" t="inlineStr">
        <is>
          <t>6970356169321</t>
        </is>
      </c>
      <c r="E104" s="14" t="inlineStr">
        <is>
          <t>参半可益清牙膏葡见茶爽120g</t>
        </is>
      </c>
      <c r="F104" s="15" t="n">
        <v>44</v>
      </c>
      <c r="G104" s="17" t="n">
        <v>29.9</v>
      </c>
      <c r="H104" s="14" t="n">
        <v>7</v>
      </c>
      <c r="I104" s="14" t="inlineStr">
        <is>
          <t>可益清牙膏葡见茶爽牙膏</t>
        </is>
      </c>
      <c r="J104" s="17" t="n">
        <v>3</v>
      </c>
      <c r="K104" s="18">
        <f>F104*J104</f>
        <v/>
      </c>
    </row>
    <row r="105" outlineLevel="1" ht="30" customHeight="1">
      <c r="A105" s="14" t="n">
        <v>74</v>
      </c>
      <c r="B105" s="14" t="inlineStr">
        <is>
          <t>5.1-5.20</t>
        </is>
      </c>
      <c r="C105" s="14" t="inlineStr">
        <is>
          <t>大物集美</t>
        </is>
      </c>
      <c r="D105" s="14" t="inlineStr">
        <is>
          <t>6970356164388</t>
        </is>
      </c>
      <c r="E105" s="14" t="inlineStr">
        <is>
          <t>参半臻白牙膏1+2特享装</t>
        </is>
      </c>
      <c r="F105" s="15" t="n">
        <v>18</v>
      </c>
      <c r="G105" s="17" t="n">
        <v>29.9</v>
      </c>
      <c r="H105" s="14" t="n">
        <v>4</v>
      </c>
      <c r="I105" s="14" t="inlineStr">
        <is>
          <t>1+2臻白套盒</t>
        </is>
      </c>
      <c r="J105" s="17" t="n">
        <v>3</v>
      </c>
      <c r="K105" s="18">
        <f>F105*J105</f>
        <v/>
      </c>
    </row>
    <row r="106" outlineLevel="1" ht="30" customHeight="1">
      <c r="A106" s="14" t="n">
        <v>75</v>
      </c>
      <c r="B106" s="14" t="inlineStr">
        <is>
          <t>5.1-5.20</t>
        </is>
      </c>
      <c r="C106" s="14" t="inlineStr">
        <is>
          <t>大物集美</t>
        </is>
      </c>
      <c r="D106" s="14" t="inlineStr">
        <is>
          <t>6970356164296</t>
        </is>
      </c>
      <c r="E106" s="14" t="inlineStr">
        <is>
          <t>参半清新牙膏120g动感薄荷</t>
        </is>
      </c>
      <c r="F106" s="15" t="n">
        <v>48</v>
      </c>
      <c r="G106" s="17" t="n">
        <v>29.9</v>
      </c>
      <c r="H106" s="14" t="n">
        <v>10</v>
      </c>
      <c r="I106" s="14" t="inlineStr">
        <is>
          <t>SP-4清新牙膏</t>
        </is>
      </c>
      <c r="J106" s="17" t="n">
        <v>3</v>
      </c>
      <c r="K106" s="18">
        <f>F106*J106</f>
        <v/>
      </c>
    </row>
    <row r="107" outlineLevel="1" ht="30" customHeight="1">
      <c r="A107" s="14" t="n">
        <v>76</v>
      </c>
      <c r="B107" s="14" t="inlineStr">
        <is>
          <t>5.1-5.20</t>
        </is>
      </c>
      <c r="C107" s="14" t="inlineStr">
        <is>
          <t>大物集美</t>
        </is>
      </c>
      <c r="D107" s="14" t="inlineStr">
        <is>
          <t>6970356164289</t>
        </is>
      </c>
      <c r="E107" s="14" t="inlineStr">
        <is>
          <t>参半美白牙膏120g香域茉莉味</t>
        </is>
      </c>
      <c r="F107" s="15" t="n">
        <v>36</v>
      </c>
      <c r="G107" s="17" t="n">
        <v>29.9</v>
      </c>
      <c r="H107" s="14" t="n">
        <v>9</v>
      </c>
      <c r="I107" s="14" t="inlineStr">
        <is>
          <t>SP-4美白牙膏</t>
        </is>
      </c>
      <c r="J107" s="17" t="n">
        <v>3</v>
      </c>
      <c r="K107" s="18">
        <f>F107*J107</f>
        <v/>
      </c>
    </row>
    <row r="108" outlineLevel="1" ht="30" customHeight="1">
      <c r="A108" s="14" t="n">
        <v>77</v>
      </c>
      <c r="B108" s="14" t="inlineStr">
        <is>
          <t>5.1-5.20</t>
        </is>
      </c>
      <c r="C108" s="14" t="inlineStr">
        <is>
          <t>大物集美</t>
        </is>
      </c>
      <c r="D108" s="14" t="inlineStr">
        <is>
          <t>6970356166832</t>
        </is>
      </c>
      <c r="E108" s="14" t="inlineStr">
        <is>
          <t>参半羟基磷灰石牙膏100g满陇桂雨味</t>
        </is>
      </c>
      <c r="F108" s="15" t="n">
        <v>28</v>
      </c>
      <c r="G108" s="17" t="n">
        <v>24.9</v>
      </c>
      <c r="H108" s="14" t="n">
        <v>1</v>
      </c>
      <c r="I108" s="14" t="inlineStr">
        <is>
          <t>羟基磷灰石修复牙膏</t>
        </is>
      </c>
      <c r="J108" s="17" t="n">
        <v>3</v>
      </c>
      <c r="K108" s="18">
        <f>F108*J108</f>
        <v/>
      </c>
    </row>
    <row r="109" outlineLevel="1" ht="30" customHeight="1">
      <c r="A109" s="14" t="n">
        <v>78</v>
      </c>
      <c r="B109" s="14" t="inlineStr">
        <is>
          <t>5.1-5.20</t>
        </is>
      </c>
      <c r="C109" s="14" t="inlineStr">
        <is>
          <t>大物集美</t>
        </is>
      </c>
      <c r="D109" s="14" t="inlineStr">
        <is>
          <t>6970356162391</t>
        </is>
      </c>
      <c r="E109" s="14" t="inlineStr">
        <is>
          <t>参半沸石净齿牙膏140g清新苍兰</t>
        </is>
      </c>
      <c r="F109" s="15" t="n">
        <v>37</v>
      </c>
      <c r="G109" s="17" t="n">
        <v>29.9</v>
      </c>
      <c r="H109" s="14" t="n">
        <v>2</v>
      </c>
      <c r="I109" s="14" t="inlineStr">
        <is>
          <t>沸石净齿牙膏</t>
        </is>
      </c>
      <c r="J109" s="17" t="n">
        <v>3</v>
      </c>
      <c r="K109" s="18">
        <f>F109*J109</f>
        <v/>
      </c>
    </row>
    <row r="110" outlineLevel="1" ht="30" customHeight="1">
      <c r="A110" s="14" t="n">
        <v>79</v>
      </c>
      <c r="B110" s="14" t="inlineStr">
        <is>
          <t>5.1-5.20</t>
        </is>
      </c>
      <c r="C110" s="14" t="inlineStr">
        <is>
          <t>大物集美</t>
        </is>
      </c>
      <c r="D110" s="14" t="inlineStr">
        <is>
          <t>6970356162810</t>
        </is>
      </c>
      <c r="E110" s="14" t="inlineStr">
        <is>
          <t>参半沸石美白牙膏140g海角雏菊</t>
        </is>
      </c>
      <c r="F110" s="15" t="n">
        <v>44</v>
      </c>
      <c r="G110" s="17" t="n">
        <v>29.9</v>
      </c>
      <c r="H110" s="14" t="n">
        <v>3</v>
      </c>
      <c r="I110" s="14" t="inlineStr">
        <is>
          <t>沸石美白牙膏</t>
        </is>
      </c>
      <c r="J110" s="17" t="n">
        <v>3</v>
      </c>
      <c r="K110" s="18">
        <f>F110*J110</f>
        <v/>
      </c>
    </row>
    <row r="111" outlineLevel="1" ht="30" customHeight="1">
      <c r="A111" s="14" t="n">
        <v>80</v>
      </c>
      <c r="B111" s="14" t="inlineStr">
        <is>
          <t>5.1-5.20</t>
        </is>
      </c>
      <c r="C111" s="14" t="inlineStr">
        <is>
          <t>大物集美</t>
        </is>
      </c>
      <c r="D111" s="14" t="inlineStr">
        <is>
          <t>6970356164395</t>
        </is>
      </c>
      <c r="E111" s="14" t="inlineStr">
        <is>
          <t>参半极光白酵素1+1超值装牙膏(极光白160g+龙井100g)</t>
        </is>
      </c>
      <c r="F111" s="15" t="n">
        <v>24</v>
      </c>
      <c r="G111" s="17" t="n">
        <v>19.9</v>
      </c>
      <c r="H111" s="14" t="n">
        <v>5</v>
      </c>
      <c r="I111" s="14" t="inlineStr">
        <is>
          <t>光白酵素1+1超值装牙膏</t>
        </is>
      </c>
      <c r="J111" s="17" t="n">
        <v>3</v>
      </c>
      <c r="K111" s="18">
        <f>F111*J111</f>
        <v/>
      </c>
    </row>
    <row r="112" outlineLevel="1" ht="30" customHeight="1">
      <c r="A112" s="14" t="n">
        <v>81</v>
      </c>
      <c r="B112" s="14" t="inlineStr">
        <is>
          <t>5.1-5.20</t>
        </is>
      </c>
      <c r="C112" s="14" t="inlineStr">
        <is>
          <t>大物集美</t>
        </is>
      </c>
      <c r="D112" s="14" t="inlineStr">
        <is>
          <t>6970356162636</t>
        </is>
      </c>
      <c r="E112" s="14" t="inlineStr">
        <is>
          <t>参半专研清新美白牙膏100g</t>
        </is>
      </c>
      <c r="F112" s="15" t="n">
        <v>36</v>
      </c>
      <c r="G112" s="17" t="n">
        <v>29.9</v>
      </c>
      <c r="H112" s="14" t="n">
        <v>8</v>
      </c>
      <c r="I112" s="14" t="inlineStr">
        <is>
          <t>专研清新美白牙膏</t>
        </is>
      </c>
      <c r="J112" s="17" t="n">
        <v>3</v>
      </c>
      <c r="K112" s="18">
        <f>F112*J112</f>
        <v/>
      </c>
    </row>
    <row r="113" outlineLevel="1" ht="30" customHeight="1">
      <c r="A113" s="14" t="n">
        <v>82</v>
      </c>
      <c r="B113" s="14" t="inlineStr">
        <is>
          <t>5.1-5.20</t>
        </is>
      </c>
      <c r="C113" s="14" t="inlineStr">
        <is>
          <t>大物集美</t>
        </is>
      </c>
      <c r="D113" s="14" t="inlineStr">
        <is>
          <t>6970356169338</t>
        </is>
      </c>
      <c r="E113" s="14" t="inlineStr">
        <is>
          <t>参半可益白牙膏葡萄知梨120g</t>
        </is>
      </c>
      <c r="F113" s="15" t="n">
        <v>42</v>
      </c>
      <c r="G113" s="17" t="n">
        <v>29.9</v>
      </c>
      <c r="H113" s="14" t="n">
        <v>6</v>
      </c>
      <c r="I113" s="14" t="inlineStr">
        <is>
          <t>可益白牙膏葡萄知梨牙膏</t>
        </is>
      </c>
      <c r="J113" s="17" t="n">
        <v>3</v>
      </c>
      <c r="K113" s="18">
        <f>F113*J113</f>
        <v/>
      </c>
    </row>
    <row r="114" outlineLevel="1" ht="30" customHeight="1">
      <c r="A114" s="14" t="n">
        <v>83</v>
      </c>
      <c r="B114" s="14" t="inlineStr">
        <is>
          <t>5.1-5.20</t>
        </is>
      </c>
      <c r="C114" s="14" t="inlineStr">
        <is>
          <t>大物集美</t>
        </is>
      </c>
      <c r="D114" s="14" t="inlineStr">
        <is>
          <t>6970356169321</t>
        </is>
      </c>
      <c r="E114" s="14" t="inlineStr">
        <is>
          <t>参半可益清牙膏葡见茶爽120g</t>
        </is>
      </c>
      <c r="F114" s="15" t="n">
        <v>29</v>
      </c>
      <c r="G114" s="17" t="n">
        <v>29.9</v>
      </c>
      <c r="H114" s="14" t="n">
        <v>7</v>
      </c>
      <c r="I114" s="14" t="inlineStr">
        <is>
          <t>可益清牙膏葡见茶爽牙膏</t>
        </is>
      </c>
      <c r="J114" s="17" t="n">
        <v>3</v>
      </c>
      <c r="K114" s="18">
        <f>F114*J114</f>
        <v/>
      </c>
    </row>
    <row r="115">
      <c r="A115" s="21" t="inlineStr">
        <is>
          <t>合计</t>
        </is>
      </c>
      <c r="B115" s="21" t="n"/>
      <c r="C115" s="21" t="n"/>
      <c r="D115" s="21" t="n"/>
      <c r="E115" s="21" t="n"/>
      <c r="F115" s="22">
        <f>SUM(F45:F114)</f>
        <v/>
      </c>
      <c r="G115" s="21" t="n"/>
      <c r="H115" s="21" t="n"/>
      <c r="I115" s="21" t="n"/>
      <c r="J115" s="21" t="n"/>
      <c r="K115" s="22">
        <f>SUM(K45:K114)</f>
        <v/>
      </c>
    </row>
    <row r="117" ht="24" customHeight="1">
      <c r="A117" s="11" t="inlineStr">
        <is>
          <t>四、7家门店应付奖励与转账截图比对</t>
        </is>
      </c>
    </row>
    <row r="118" ht="42" customHeight="1">
      <c r="A118" s="12" t="inlineStr">
        <is>
          <t>Excel按门店汇总10个SKU奖励；截图按发送/接收镜像去重。金额集合匹配不等于收款身份匹配。</t>
        </is>
      </c>
    </row>
    <row r="119" ht="30" customHeight="1">
      <c r="A119" s="13" t="inlineStr">
        <is>
          <t>门店</t>
        </is>
      </c>
      <c r="B119" s="13" t="inlineStr">
        <is>
          <t>Excel销售数量</t>
        </is>
      </c>
      <c r="C119" s="13" t="inlineStr">
        <is>
          <t>奖励单价</t>
        </is>
      </c>
      <c r="D119" s="13" t="inlineStr">
        <is>
          <t>Excel应付奖励</t>
        </is>
      </c>
      <c r="E119" s="13" t="inlineStr">
        <is>
          <t>转账ID</t>
        </is>
      </c>
      <c r="F119" s="13" t="inlineStr">
        <is>
          <t>去重转账金额</t>
        </is>
      </c>
      <c r="G119" s="13" t="inlineStr">
        <is>
          <t>金额差异</t>
        </is>
      </c>
      <c r="H119" s="13" t="inlineStr">
        <is>
          <t>截图来源</t>
        </is>
      </c>
      <c r="I119" s="13" t="inlineStr">
        <is>
          <t>可见身份</t>
        </is>
      </c>
      <c r="J119" s="13" t="inlineStr">
        <is>
          <t>可见日期</t>
        </is>
      </c>
      <c r="K119" s="13" t="inlineStr">
        <is>
          <t>匹配依据</t>
        </is>
      </c>
      <c r="L119" s="13" t="inlineStr">
        <is>
          <t>结论</t>
        </is>
      </c>
      <c r="M119" s="13" t="inlineStr">
        <is>
          <t>限制</t>
        </is>
      </c>
    </row>
    <row r="120" ht="60" customHeight="1">
      <c r="A120" s="14" t="inlineStr">
        <is>
          <t>云朵饰品</t>
        </is>
      </c>
      <c r="B120" s="15" t="n">
        <v>345</v>
      </c>
      <c r="C120" s="17" t="n">
        <v>3</v>
      </c>
      <c r="D120" s="18">
        <f>B120*C120</f>
        <v/>
      </c>
      <c r="E120" s="14" t="inlineStr">
        <is>
          <t>TR-IMG1-1035</t>
        </is>
      </c>
      <c r="F120" s="17" t="n">
        <v>1035</v>
      </c>
      <c r="G120" s="18">
        <f>F120-D120</f>
        <v/>
      </c>
      <c r="H120" s="14" t="inlineStr">
        <is>
          <t>雨瑶人员激励红包图片.jpg</t>
        </is>
      </c>
      <c r="I120" s="14" t="inlineStr">
        <is>
          <t>不可见</t>
        </is>
      </c>
      <c r="J120" s="14" t="inlineStr">
        <is>
          <t>否</t>
        </is>
      </c>
      <c r="K120" s="14" t="inlineStr">
        <is>
          <t>金额集合匹配</t>
        </is>
      </c>
      <c r="L120" s="19" t="inlineStr">
        <is>
          <t>金额匹配，身份未验证</t>
        </is>
      </c>
      <c r="M120" s="14" t="inlineStr">
        <is>
          <t>金额仅按集合配对；未取得门店与收款人的身份映射。未见完整日历日期。</t>
        </is>
      </c>
    </row>
    <row r="121" ht="60" customHeight="1">
      <c r="A121" s="14" t="inlineStr">
        <is>
          <t>红梅名妆</t>
        </is>
      </c>
      <c r="B121" s="15" t="n">
        <v>352</v>
      </c>
      <c r="C121" s="17" t="n">
        <v>3</v>
      </c>
      <c r="D121" s="18">
        <f>B121*C121</f>
        <v/>
      </c>
      <c r="E121" s="14" t="inlineStr">
        <is>
          <t>TR-IMG1-1056</t>
        </is>
      </c>
      <c r="F121" s="17" t="n">
        <v>1056</v>
      </c>
      <c r="G121" s="18">
        <f>F121-D121</f>
        <v/>
      </c>
      <c r="H121" s="14" t="inlineStr">
        <is>
          <t>雨瑶人员激励红包图片.jpg</t>
        </is>
      </c>
      <c r="I121" s="14" t="inlineStr">
        <is>
          <t>不可见</t>
        </is>
      </c>
      <c r="J121" s="14" t="inlineStr">
        <is>
          <t>否</t>
        </is>
      </c>
      <c r="K121" s="14" t="inlineStr">
        <is>
          <t>金额集合匹配</t>
        </is>
      </c>
      <c r="L121" s="19" t="inlineStr">
        <is>
          <t>金额匹配，身份未验证</t>
        </is>
      </c>
      <c r="M121" s="14" t="inlineStr">
        <is>
          <t>金额仅按集合配对；未取得门店与收款人的身份映射。未见完整日历日期。</t>
        </is>
      </c>
    </row>
    <row r="122" ht="60" customHeight="1">
      <c r="A122" s="14" t="inlineStr">
        <is>
          <t>丽源名妆</t>
        </is>
      </c>
      <c r="B122" s="15" t="n">
        <v>344</v>
      </c>
      <c r="C122" s="17" t="n">
        <v>3</v>
      </c>
      <c r="D122" s="18">
        <f>B122*C122</f>
        <v/>
      </c>
      <c r="E122" s="14" t="inlineStr">
        <is>
          <t>TR-IMG1-1032</t>
        </is>
      </c>
      <c r="F122" s="17" t="n">
        <v>1032</v>
      </c>
      <c r="G122" s="18">
        <f>F122-D122</f>
        <v/>
      </c>
      <c r="H122" s="14" t="inlineStr">
        <is>
          <t>雨瑶人员激励红包图片.jpg</t>
        </is>
      </c>
      <c r="I122" s="14" t="inlineStr">
        <is>
          <t>不可见</t>
        </is>
      </c>
      <c r="J122" s="14" t="inlineStr">
        <is>
          <t>否</t>
        </is>
      </c>
      <c r="K122" s="14" t="inlineStr">
        <is>
          <t>金额集合匹配</t>
        </is>
      </c>
      <c r="L122" s="19" t="inlineStr">
        <is>
          <t>金额匹配，身份未验证</t>
        </is>
      </c>
      <c r="M122" s="14" t="inlineStr">
        <is>
          <t>金额仅按集合配对；未取得门店与收款人的身份映射。未见完整日历日期。</t>
        </is>
      </c>
    </row>
    <row r="123" ht="60" customHeight="1">
      <c r="A123" s="14" t="inlineStr">
        <is>
          <t>米菲精品</t>
        </is>
      </c>
      <c r="B123" s="15" t="n">
        <v>338</v>
      </c>
      <c r="C123" s="17" t="n">
        <v>3</v>
      </c>
      <c r="D123" s="18">
        <f>B123*C123</f>
        <v/>
      </c>
      <c r="E123" s="14" t="inlineStr">
        <is>
          <t>TR-IMG2-1014</t>
        </is>
      </c>
      <c r="F123" s="17" t="n">
        <v>1014</v>
      </c>
      <c r="G123" s="18">
        <f>F123-D123</f>
        <v/>
      </c>
      <c r="H123" s="14" t="inlineStr">
        <is>
          <t>雨瑶人员激励红包图片2.jpg</t>
        </is>
      </c>
      <c r="I123" s="14" t="inlineStr">
        <is>
          <t>闫志文</t>
        </is>
      </c>
      <c r="J123" s="14" t="inlineStr">
        <is>
          <t>否</t>
        </is>
      </c>
      <c r="K123" s="14" t="inlineStr">
        <is>
          <t>金额集合匹配</t>
        </is>
      </c>
      <c r="L123" s="19" t="inlineStr">
        <is>
          <t>金额匹配，身份未验证</t>
        </is>
      </c>
      <c r="M123" s="14" t="inlineStr">
        <is>
          <t>金额仅按集合配对；未取得门店与收款人的身份映射。未见完整日历日期。</t>
        </is>
      </c>
    </row>
    <row r="124" ht="60" customHeight="1">
      <c r="A124" s="14" t="inlineStr">
        <is>
          <t>桐贝美妆</t>
        </is>
      </c>
      <c r="B124" s="15" t="n">
        <v>365</v>
      </c>
      <c r="C124" s="17" t="n">
        <v>3</v>
      </c>
      <c r="D124" s="18">
        <f>B124*C124</f>
        <v/>
      </c>
      <c r="E124" s="14" t="inlineStr">
        <is>
          <t>TR-IMG2-1095-B</t>
        </is>
      </c>
      <c r="F124" s="17" t="n">
        <v>1095</v>
      </c>
      <c r="G124" s="18">
        <f>F124-D124</f>
        <v/>
      </c>
      <c r="H124" s="14" t="inlineStr">
        <is>
          <t>雨瑶人员激励红包图片2.jpg</t>
        </is>
      </c>
      <c r="I124" s="14" t="inlineStr">
        <is>
          <t>闫志文</t>
        </is>
      </c>
      <c r="J124" s="14" t="inlineStr">
        <is>
          <t>否</t>
        </is>
      </c>
      <c r="K124" s="14" t="inlineStr">
        <is>
          <t>金额集合匹配</t>
        </is>
      </c>
      <c r="L124" s="19" t="inlineStr">
        <is>
          <t>金额匹配，身份未验证</t>
        </is>
      </c>
      <c r="M124" s="14" t="inlineStr">
        <is>
          <t>金额仅按集合配对；未取得门店与收款人的身份映射。未见完整日历日期。</t>
        </is>
      </c>
    </row>
    <row r="125" ht="60" customHeight="1">
      <c r="A125" s="14" t="inlineStr">
        <is>
          <t>时尚密码</t>
        </is>
      </c>
      <c r="B125" s="15" t="n">
        <v>365</v>
      </c>
      <c r="C125" s="17" t="n">
        <v>3</v>
      </c>
      <c r="D125" s="18">
        <f>B125*C125</f>
        <v/>
      </c>
      <c r="E125" s="14" t="inlineStr">
        <is>
          <t>TR-IMG2-1095-A</t>
        </is>
      </c>
      <c r="F125" s="17" t="n">
        <v>1095</v>
      </c>
      <c r="G125" s="18">
        <f>F125-D125</f>
        <v/>
      </c>
      <c r="H125" s="14" t="inlineStr">
        <is>
          <t>雨瑶人员激励红包图片2.jpg</t>
        </is>
      </c>
      <c r="I125" s="14" t="inlineStr">
        <is>
          <t>闫志文</t>
        </is>
      </c>
      <c r="J125" s="14" t="inlineStr">
        <is>
          <t>否</t>
        </is>
      </c>
      <c r="K125" s="14" t="inlineStr">
        <is>
          <t>金额集合匹配</t>
        </is>
      </c>
      <c r="L125" s="19" t="inlineStr">
        <is>
          <t>金额匹配，身份未验证</t>
        </is>
      </c>
      <c r="M125" s="14" t="inlineStr">
        <is>
          <t>金额仅按集合配对；未取得门店与收款人的身份映射。未见完整日历日期。</t>
        </is>
      </c>
    </row>
    <row r="126" ht="60" customHeight="1">
      <c r="A126" s="14" t="inlineStr">
        <is>
          <t>大物集美</t>
        </is>
      </c>
      <c r="B126" s="15" t="n">
        <v>342</v>
      </c>
      <c r="C126" s="17" t="n">
        <v>3</v>
      </c>
      <c r="D126" s="18">
        <f>B126*C126</f>
        <v/>
      </c>
      <c r="E126" s="14" t="inlineStr">
        <is>
          <t>TR-IMG2-1026</t>
        </is>
      </c>
      <c r="F126" s="17" t="n">
        <v>1026</v>
      </c>
      <c r="G126" s="18">
        <f>F126-D126</f>
        <v/>
      </c>
      <c r="H126" s="14" t="inlineStr">
        <is>
          <t>雨瑶人员激励红包图片2.jpg</t>
        </is>
      </c>
      <c r="I126" s="14" t="inlineStr">
        <is>
          <t>闫志文</t>
        </is>
      </c>
      <c r="J126" s="14" t="inlineStr">
        <is>
          <t>否</t>
        </is>
      </c>
      <c r="K126" s="14" t="inlineStr">
        <is>
          <t>金额集合匹配</t>
        </is>
      </c>
      <c r="L126" s="19" t="inlineStr">
        <is>
          <t>金额匹配，身份未验证</t>
        </is>
      </c>
      <c r="M126" s="14" t="inlineStr">
        <is>
          <t>金额仅按集合配对；未取得门店与收款人的身份映射。未见完整日历日期。</t>
        </is>
      </c>
    </row>
    <row r="127">
      <c r="A127" s="20" t="inlineStr">
        <is>
          <t>合计</t>
        </is>
      </c>
      <c r="B127" s="20">
        <f>SUM(B120:B126)</f>
        <v/>
      </c>
      <c r="C127" s="20" t="n"/>
      <c r="D127" s="20">
        <f>SUM(D120:D126)</f>
        <v/>
      </c>
      <c r="E127" s="20" t="n"/>
      <c r="F127" s="20">
        <f>SUM(F120:F126)</f>
        <v/>
      </c>
      <c r="G127" s="20">
        <f>SUM(G120:G126)</f>
        <v/>
      </c>
      <c r="H127" s="20" t="n"/>
      <c r="I127" s="20" t="n"/>
      <c r="J127" s="20" t="n"/>
      <c r="K127" s="20" t="n"/>
      <c r="L127" s="20" t="n"/>
      <c r="M127" s="20" t="n"/>
    </row>
    <row r="129" ht="24" customHeight="1">
      <c r="A129" s="11" t="inlineStr">
        <is>
          <t>五、转账截图去重明细</t>
        </is>
      </c>
    </row>
    <row r="130" ht="42" customHeight="1">
      <c r="A130" s="12" t="inlineStr">
        <is>
          <t>同一笔转账的发送方与接收方气泡合并为一个transfer_id，同时保留出现次数和去重依据。</t>
        </is>
      </c>
    </row>
    <row r="131" ht="30" customHeight="1">
      <c r="A131" s="13" t="inlineStr">
        <is>
          <t>转账ID</t>
        </is>
      </c>
      <c r="B131" s="13" t="inlineStr">
        <is>
          <t>金额</t>
        </is>
      </c>
      <c r="C131" s="13" t="inlineStr">
        <is>
          <t>画面次数</t>
        </is>
      </c>
      <c r="D131" s="13" t="inlineStr">
        <is>
          <t>身份可见</t>
        </is>
      </c>
      <c r="E131" s="13" t="inlineStr">
        <is>
          <t>日期可见</t>
        </is>
      </c>
      <c r="F131" s="13" t="inlineStr">
        <is>
          <t>门店/收款人</t>
        </is>
      </c>
      <c r="G131" s="13" t="inlineStr">
        <is>
          <t>来源文件</t>
        </is>
      </c>
      <c r="H131" s="13" t="inlineStr">
        <is>
          <t>去重依据</t>
        </is>
      </c>
      <c r="I131" s="13" t="inlineStr">
        <is>
          <t>备注</t>
        </is>
      </c>
    </row>
    <row r="132" outlineLevel="1" ht="72" customHeight="1">
      <c r="A132" s="14" t="inlineStr">
        <is>
          <t>TR-IMG1-1035</t>
        </is>
      </c>
      <c r="B132" s="17" t="n">
        <v>1035</v>
      </c>
      <c r="C132" s="15" t="n">
        <v>2</v>
      </c>
      <c r="D132" s="14" t="inlineStr">
        <is>
          <t>否</t>
        </is>
      </c>
      <c r="E132" s="14" t="inlineStr">
        <is>
          <t>否</t>
        </is>
      </c>
      <c r="F132" s="14" t="n"/>
      <c r="G132" s="14" t="inlineStr">
        <is>
          <t>雨瑶人员激励红包图片.jpg</t>
        </is>
      </c>
      <c r="H132" s="14" t="inlineStr">
        <is>
          <t>同一截图内可见一条右侧“¥1035.00/已被接收”和一条左侧“¥1035.00/已收款”；按相同金额、相对顺序及互补状态作为同一转账的两处可见记录，保留出现次数2。未见交易单号，配对存在来源限制。</t>
        </is>
      </c>
      <c r="I132" s="14" t="inlineStr">
        <is>
          <t>聊天页标题仅为“业务团队”，未显示具体门店或收款人姓名。；仅见“星期四 17:17”、消息时间10:45和手机状态栏10:46，未见完整年月日、交易单号或收款账户；这些时间值不作为转账日期。</t>
        </is>
      </c>
    </row>
    <row r="133" outlineLevel="1" ht="72" customHeight="1">
      <c r="A133" s="14" t="inlineStr">
        <is>
          <t>TR-IMG1-1056</t>
        </is>
      </c>
      <c r="B133" s="17" t="n">
        <v>1056</v>
      </c>
      <c r="C133" s="15" t="n">
        <v>2</v>
      </c>
      <c r="D133" s="14" t="inlineStr">
        <is>
          <t>否</t>
        </is>
      </c>
      <c r="E133" s="14" t="inlineStr">
        <is>
          <t>否</t>
        </is>
      </c>
      <c r="F133" s="14" t="n"/>
      <c r="G133" s="14" t="inlineStr">
        <is>
          <t>雨瑶人员激励红包图片.jpg</t>
        </is>
      </c>
      <c r="H133" s="14" t="inlineStr">
        <is>
          <t>同一截图内可见一条右侧“¥1056.00/已被接收”和一条左侧“¥1056.00/已收款”；按相同金额、相对顺序及互补状态作为同一转账的两处可见记录，保留出现次数2。未见交易单号，配对存在来源限制。</t>
        </is>
      </c>
      <c r="I133" s="14" t="inlineStr">
        <is>
          <t>聊天页标题仅为“业务团队”，未显示具体门店或收款人姓名。；仅见“星期四 17:17”、消息时间10:45和手机状态栏10:46，未见完整年月日、交易单号或收款账户；这些时间值不作为转账日期。</t>
        </is>
      </c>
    </row>
    <row r="134" outlineLevel="1" ht="72" customHeight="1">
      <c r="A134" s="14" t="inlineStr">
        <is>
          <t>TR-IMG1-1032</t>
        </is>
      </c>
      <c r="B134" s="17" t="n">
        <v>1032</v>
      </c>
      <c r="C134" s="15" t="n">
        <v>2</v>
      </c>
      <c r="D134" s="14" t="inlineStr">
        <is>
          <t>否</t>
        </is>
      </c>
      <c r="E134" s="14" t="inlineStr">
        <is>
          <t>否</t>
        </is>
      </c>
      <c r="F134" s="14" t="n"/>
      <c r="G134" s="14" t="inlineStr">
        <is>
          <t>雨瑶人员激励红包图片.jpg</t>
        </is>
      </c>
      <c r="H134" s="14" t="inlineStr">
        <is>
          <t>同一截图内可见一条右侧“¥1032.00/已被接收”和一条左侧“¥1032.00/已收款”；按相同金额、相对顺序及互补状态作为同一转账的两处可见记录，保留出现次数2。未见交易单号，配对存在来源限制。</t>
        </is>
      </c>
      <c r="I134" s="14" t="inlineStr">
        <is>
          <t>聊天页标题仅为“业务团队”，未显示具体门店或收款人姓名。；仅见“星期四 17:17”、消息时间10:45和手机状态栏10:46，未见完整年月日、交易单号或收款账户；这些时间值不作为转账日期。</t>
        </is>
      </c>
    </row>
    <row r="135" outlineLevel="1" ht="72" customHeight="1">
      <c r="A135" s="14" t="inlineStr">
        <is>
          <t>TR-IMG2-1014</t>
        </is>
      </c>
      <c r="B135" s="17" t="n">
        <v>1014</v>
      </c>
      <c r="C135" s="15" t="n">
        <v>2</v>
      </c>
      <c r="D135" s="14" t="inlineStr">
        <is>
          <t>是</t>
        </is>
      </c>
      <c r="E135" s="14" t="inlineStr">
        <is>
          <t>否</t>
        </is>
      </c>
      <c r="F135" s="14" t="inlineStr">
        <is>
          <t>闫志文</t>
        </is>
      </c>
      <c r="G135" s="14" t="inlineStr">
        <is>
          <t>雨瑶人员激励红包图片2.jpg</t>
        </is>
      </c>
      <c r="H135" s="14" t="inlineStr">
        <is>
          <t>同一截图内可见一条右侧“¥1014.00/已被接收”和一条左侧“¥1014.00/已收款”；按相同金额及互补状态作为同一转账的两处可见记录，保留出现次数2。未见交易单号，配对存在来源限制。</t>
        </is>
      </c>
      <c r="I135" s="14" t="inlineStr">
        <is>
          <t>聊天页标题可见“同事 市场部 闫志文”，仅据此提取聊天对象姓名“闫志文”；气泡未显示门店名称、收款账户或交易单号。；仅见手机状态栏时间10:54，未见完整年月日，因此不提取转账日期。</t>
        </is>
      </c>
    </row>
    <row r="136" outlineLevel="1" ht="72" customHeight="1">
      <c r="A136" s="14" t="inlineStr">
        <is>
          <t>TR-IMG2-1095-A</t>
        </is>
      </c>
      <c r="B136" s="17" t="n">
        <v>1095</v>
      </c>
      <c r="C136" s="15" t="n">
        <v>2</v>
      </c>
      <c r="D136" s="14" t="inlineStr">
        <is>
          <t>是</t>
        </is>
      </c>
      <c r="E136" s="14" t="inlineStr">
        <is>
          <t>否</t>
        </is>
      </c>
      <c r="F136" s="14" t="inlineStr">
        <is>
          <t>闫志文</t>
        </is>
      </c>
      <c r="G136" s="14" t="inlineStr">
        <is>
          <t>雨瑶人员激励红包图片2.jpg</t>
        </is>
      </c>
      <c r="H136" s="14" t="inlineStr">
        <is>
          <t>截图中右侧有2条“¥1095.00/已被接收”，左侧有2条¥1095.00金额记录（1条完整显示“已收款”，另1条在底部被裁切但金额可见）；保留为2笔不同的¥1095.00转账，并按数量配对为每笔2次可见。因同额且无交易单号，A/B的具体镜像对应关系无法区分。</t>
        </is>
      </c>
      <c r="I136" s="14" t="inlineStr">
        <is>
          <t>聊天页标题可见“同事 市场部 闫志文”，仅据此提取聊天对象姓名“闫志文”；气泡未显示门店名称、收款账户或交易单号。；仅见手机状态栏时间10:54，未见完整年月日，因此不提取转账日期。；本记录是两笔同额¥1095.00中的第一笔逻辑记录；与第二笔的具体镜像配对顺序不确定。</t>
        </is>
      </c>
    </row>
    <row r="137" outlineLevel="1" ht="72" customHeight="1">
      <c r="A137" s="14" t="inlineStr">
        <is>
          <t>TR-IMG2-1095-B</t>
        </is>
      </c>
      <c r="B137" s="17" t="n">
        <v>1095</v>
      </c>
      <c r="C137" s="15" t="n">
        <v>2</v>
      </c>
      <c r="D137" s="14" t="inlineStr">
        <is>
          <t>是</t>
        </is>
      </c>
      <c r="E137" s="14" t="inlineStr">
        <is>
          <t>否</t>
        </is>
      </c>
      <c r="F137" s="14" t="inlineStr">
        <is>
          <t>闫志文</t>
        </is>
      </c>
      <c r="G137" s="14" t="inlineStr">
        <is>
          <t>雨瑶人员激励红包图片2.jpg</t>
        </is>
      </c>
      <c r="H137" s="14" t="inlineStr">
        <is>
          <t>截图中右侧有2条“¥1095.00/已被接收”，左侧有2条¥1095.00金额记录（1条完整显示“已收款”，另1条在底部被裁切但金额可见）；保留为2笔不同的¥1095.00转账，并按数量配对为每笔2次可见。因同额且无交易单号，A/B的具体镜像对应关系无法区分。</t>
        </is>
      </c>
      <c r="I137" s="14" t="inlineStr">
        <is>
          <t>聊天页标题可见“同事 市场部 闫志文”，仅据此提取聊天对象姓名“闫志文”；气泡未显示门店名称、收款账户或交易单号。；仅见手机状态栏时间10:54，未见完整年月日，因此不提取转账日期。；本记录是两笔同额¥1095.00中的第二笔逻辑记录；与第一笔的具体镜像配对顺序不确定，且左侧该次出现的状态文字被底部裁切。</t>
        </is>
      </c>
    </row>
    <row r="138" outlineLevel="1" ht="72" customHeight="1">
      <c r="A138" s="14" t="inlineStr">
        <is>
          <t>TR-IMG2-1026</t>
        </is>
      </c>
      <c r="B138" s="17" t="n">
        <v>1026</v>
      </c>
      <c r="C138" s="15" t="n">
        <v>2</v>
      </c>
      <c r="D138" s="14" t="inlineStr">
        <is>
          <t>是</t>
        </is>
      </c>
      <c r="E138" s="14" t="inlineStr">
        <is>
          <t>否</t>
        </is>
      </c>
      <c r="F138" s="14" t="inlineStr">
        <is>
          <t>闫志文</t>
        </is>
      </c>
      <c r="G138" s="14" t="inlineStr">
        <is>
          <t>雨瑶人员激励红包图片2.jpg</t>
        </is>
      </c>
      <c r="H138" s="14" t="inlineStr">
        <is>
          <t>同一截图内可见一条右侧“¥1026.00/已被接收”和一条左侧“¥1026.00/已收款”；按相同金额及互补状态作为同一转账的两处可见记录，保留出现次数2。未见交易单号，配对存在来源限制。</t>
        </is>
      </c>
      <c r="I138" s="14" t="inlineStr">
        <is>
          <t>聊天页标题可见“同事 市场部 闫志文”，仅据此提取聊天对象姓名“闫志文”；气泡未显示门店名称、收款账户或交易单号。；仅见手机状态栏时间10:54，未见完整年月日，因此不提取转账日期。</t>
        </is>
      </c>
    </row>
    <row r="140" ht="24" customHeight="1">
      <c r="A140" s="11" t="inlineStr">
        <is>
          <t>六、结算单与转账截图真实性风险辅助检查</t>
        </is>
      </c>
    </row>
    <row r="141" ht="42" customHeight="1">
      <c r="A141" s="12" t="inlineStr">
        <is>
          <t>SHA-256检查完全重复，pHash/dHash筛查近似画面；EXIF/GPS缺失不能自动判假，也不能自动判真。</t>
        </is>
      </c>
    </row>
    <row r="142" ht="30" customHeight="1">
      <c r="A142" s="13" t="inlineStr">
        <is>
          <t>文件名</t>
        </is>
      </c>
      <c r="B142" s="13" t="inlineStr">
        <is>
          <t>角色</t>
        </is>
      </c>
      <c r="C142" s="13" t="inlineStr">
        <is>
          <t>尺寸</t>
        </is>
      </c>
      <c r="D142" s="13" t="inlineStr">
        <is>
          <t>大小(字节)</t>
        </is>
      </c>
      <c r="E142" s="13" t="inlineStr">
        <is>
          <t>SHA-256</t>
        </is>
      </c>
      <c r="F142" s="13" t="inlineStr">
        <is>
          <t>pHash</t>
        </is>
      </c>
      <c r="G142" s="13" t="inlineStr">
        <is>
          <t>dHash</t>
        </is>
      </c>
      <c r="H142" s="13" t="inlineStr">
        <is>
          <t>EXIF时间</t>
        </is>
      </c>
      <c r="I142" s="13" t="inlineStr">
        <is>
          <t>GPS</t>
        </is>
      </c>
      <c r="J142" s="13" t="inlineStr">
        <is>
          <t>pHash候选</t>
        </is>
      </c>
    </row>
    <row r="143" ht="78" customHeight="1">
      <c r="A143" s="14" t="inlineStr">
        <is>
          <t>郑州雨瑶5.1-5.20人员激励活动结算单.jpg</t>
        </is>
      </c>
      <c r="B143" s="14" t="inlineStr">
        <is>
          <t>最终结算单</t>
        </is>
      </c>
      <c r="C143" s="14" t="inlineStr">
        <is>
          <t>1920×1080</t>
        </is>
      </c>
      <c r="D143" s="15" t="n">
        <v>645182</v>
      </c>
      <c r="E143" s="14" t="inlineStr">
        <is>
          <t>898a8061a91af8d681ccdb650b43a07a42b96272407ba249dd64dc53b4bbc4e6</t>
        </is>
      </c>
      <c r="F143" s="14" t="inlineStr">
        <is>
          <t>d5f1828fc49e9332</t>
        </is>
      </c>
      <c r="G143" s="14" t="inlineStr">
        <is>
          <t>84a9a99f93a6aeba</t>
        </is>
      </c>
      <c r="H143" s="14" t="n"/>
      <c r="I143" s="14" t="inlineStr">
        <is>
          <t>无</t>
        </is>
      </c>
      <c r="J143" s="14" t="inlineStr">
        <is>
          <t>无</t>
        </is>
      </c>
    </row>
    <row r="144" ht="78" customHeight="1">
      <c r="A144" s="14" t="inlineStr">
        <is>
          <t>雨瑶人员激励红包图片.jpg</t>
        </is>
      </c>
      <c r="B144" s="14" t="inlineStr">
        <is>
          <t>转账截图</t>
        </is>
      </c>
      <c r="C144" s="14" t="inlineStr">
        <is>
          <t>1280×2774</t>
        </is>
      </c>
      <c r="D144" s="15" t="n">
        <v>194094</v>
      </c>
      <c r="E144" s="14" t="inlineStr">
        <is>
          <t>8aeda7f356dcf9123086cb55e6e60b4fc2049bfeaf784513dffcffa6f15b2529</t>
        </is>
      </c>
      <c r="F144" s="14" t="inlineStr">
        <is>
          <t>872ef460ead5ea41</t>
        </is>
      </c>
      <c r="G144" s="14" t="inlineStr">
        <is>
          <t>c884e470f9f1e969</t>
        </is>
      </c>
      <c r="H144" s="14" t="n"/>
      <c r="I144" s="14" t="inlineStr">
        <is>
          <t>无</t>
        </is>
      </c>
      <c r="J144" s="14" t="inlineStr">
        <is>
          <t>雨瑶人员激励红包图片2.jpg（距离6）</t>
        </is>
      </c>
    </row>
    <row r="145" ht="78" customHeight="1">
      <c r="A145" s="14" t="inlineStr">
        <is>
          <t>雨瑶人员激励红包图片2.jpg</t>
        </is>
      </c>
      <c r="B145" s="14" t="inlineStr">
        <is>
          <t>转账截图</t>
        </is>
      </c>
      <c r="C145" s="14" t="inlineStr">
        <is>
          <t>1280×2774</t>
        </is>
      </c>
      <c r="D145" s="15" t="n">
        <v>192057</v>
      </c>
      <c r="E145" s="14" t="inlineStr">
        <is>
          <t>de4aa8f6d75027e207571fcf365ed5d805a350ff7622b45f29bc7d803db8c8ca</t>
        </is>
      </c>
      <c r="F145" s="14" t="inlineStr">
        <is>
          <t>870ef568ea55aa51</t>
        </is>
      </c>
      <c r="G145" s="14" t="inlineStr">
        <is>
          <t>c4c4e470f9f9e949</t>
        </is>
      </c>
      <c r="H145" s="14" t="n"/>
      <c r="I145" s="14" t="inlineStr">
        <is>
          <t>无</t>
        </is>
      </c>
      <c r="J145" s="14" t="inlineStr">
        <is>
          <t>雨瑶人员激励红包图片.jpg（距离6）</t>
        </is>
      </c>
    </row>
    <row r="147" ht="24" customHeight="1">
      <c r="A147" s="11" t="inlineStr">
        <is>
          <t>1.4.1 七项分析维度</t>
        </is>
      </c>
    </row>
    <row r="148" ht="42" customHeight="1">
      <c r="A148" s="12" t="inlineStr">
        <is>
          <t>七个维度分别说明读取证据、实际检查、判定依据和能力边界；没有发票、预算或历史照片库时不会默认判为通过。</t>
        </is>
      </c>
    </row>
    <row r="149" ht="30" customHeight="1">
      <c r="A149" s="13" t="inlineStr">
        <is>
          <t>序号</t>
        </is>
      </c>
      <c r="B149" s="13" t="inlineStr">
        <is>
          <t>分析维度</t>
        </is>
      </c>
      <c r="C149" s="13" t="inlineStr">
        <is>
          <t>检测内容</t>
        </is>
      </c>
      <c r="E149" s="13" t="inlineStr">
        <is>
          <t>1.4.1判定标准</t>
        </is>
      </c>
      <c r="G149" s="13" t="inlineStr">
        <is>
          <t>本次读取文件/证据</t>
        </is>
      </c>
      <c r="I149" s="13" t="inlineStr">
        <is>
          <t>实际执行检查</t>
        </is>
      </c>
      <c r="K149" s="13" t="inlineStr">
        <is>
          <t>状态</t>
        </is>
      </c>
      <c r="L149" s="13" t="inlineStr">
        <is>
          <t>判定依据及能力边界/补证</t>
        </is>
      </c>
    </row>
    <row r="150" ht="108" customHeight="1">
      <c r="A150" s="14" t="inlineStr">
        <is>
          <t>1</t>
        </is>
      </c>
      <c r="B150" s="14" t="inlineStr">
        <is>
          <t>真实性验证</t>
        </is>
      </c>
      <c r="C150" s="14" t="inlineStr">
        <is>
          <t>文件是否被篡改/伪造</t>
        </is>
      </c>
      <c r="E150" s="14" t="inlineStr">
        <is>
          <t>EXIF信息完整性、图像指纹比对、水印一致性、数字签名验证</t>
        </is>
      </c>
      <c r="G150" s="14" t="inlineStr">
        <is>
          <t>雨瑶人员激励参半销售数据2.xlsx；郑州雨瑶5.1-5.20人员激励活动结算单.jpg；转账截图2张</t>
        </is>
      </c>
      <c r="I150" s="14" t="inlineStr">
        <is>
          <t>固定全部源文件SHA-256；读取结算单和转账截图可见内容；核对Excel公式与数值。</t>
        </is>
      </c>
      <c r="K150" s="19" t="inlineStr">
        <is>
          <t>证据不足</t>
        </is>
      </c>
      <c r="L150" s="14" t="inlineStr">
        <is>
          <t>判定依据：本包4个源文件已固定哈希；3张图片中EXIF时间0张、GPS 0张；但未提供数字签名、可信时间戳或像素级篡改检测结果。
能力边界/补证：SHA-256只证明收到后的字节身份，不能证明提交前从未被修改；需原始文件、数字签名或专业取证结果。</t>
        </is>
      </c>
    </row>
    <row r="151" ht="108" customHeight="1">
      <c r="A151" s="14" t="inlineStr">
        <is>
          <t>2</t>
        </is>
      </c>
      <c r="B151" s="14" t="inlineStr">
        <is>
          <t>真实性验证</t>
        </is>
      </c>
      <c r="C151" s="14" t="inlineStr">
        <is>
          <t>照片是否为现场实拍</t>
        </is>
      </c>
      <c r="E151" s="14" t="inlineStr">
        <is>
          <t>GPS坐标与申报门店匹配、拍摄时间在活动周期内、设备信息一致</t>
        </is>
      </c>
      <c r="G151" s="14" t="inlineStr">
        <is>
          <t>本场景没有现场陈列照片；结算单和转账截图</t>
        </is>
      </c>
      <c r="I151" s="14" t="inlineStr">
        <is>
          <t>检查转账截图中的身份、日期等可见字段，不把文件名或金额当作现场证明。</t>
        </is>
      </c>
      <c r="K151" s="23" t="inlineStr">
        <is>
          <t>本案未触发</t>
        </is>
      </c>
      <c r="L151" s="14" t="inlineStr">
        <is>
          <t>判定依据：7笔去重转账中，身份可见4笔、日期可见0笔；材料不是门店现场实拍照片。
能力边界/补证：若人员激励制度要求现场执行照片，应另行提交带可信时间、地点和设备信息的原始照片。</t>
        </is>
      </c>
    </row>
    <row r="152" ht="108" customHeight="1">
      <c r="A152" s="14" t="inlineStr">
        <is>
          <t>3</t>
        </is>
      </c>
      <c r="B152" s="14" t="inlineStr">
        <is>
          <t>真实性验证</t>
        </is>
      </c>
      <c r="C152" s="14" t="inlineStr">
        <is>
          <t>文件是否重复使用</t>
        </is>
      </c>
      <c r="E152" s="14" t="inlineStr">
        <is>
          <t>感知哈希（pHash）去重、跨活动文件复用检测</t>
        </is>
      </c>
      <c r="G152" s="14" t="inlineStr">
        <is>
          <t>雨瑶人员激励参半销售数据2.xlsx；郑州雨瑶5.1-5.20人员激励活动结算单.jpg；转账截图2张</t>
        </is>
      </c>
      <c r="I152" s="14" t="inlineStr">
        <is>
          <t>比较图片SHA-256并计算pHash近似指纹；按转账事件合并同一笔的发送/接收画面。</t>
        </is>
      </c>
      <c r="K152" s="19" t="inlineStr">
        <is>
          <t>部分验证</t>
        </is>
      </c>
      <c r="L152" s="14" t="inlineStr">
        <is>
          <t>判定依据：源文件哈希重复数为0，图片完全重复组0、pHash近似候选1组；转账画面按业务事件去重后为7笔。pHash候选需结合transfer_id判断，同一聊天内容的多张截图可能合理近似；没有跨活动历史库。
能力边界/补证：pHash候选只提示画面近似，不能直接判为重复造假；本次不能排除历史活动复用。</t>
        </is>
      </c>
    </row>
    <row r="153" ht="108" customHeight="1">
      <c r="A153" s="14" t="inlineStr">
        <is>
          <t>4</t>
        </is>
      </c>
      <c r="B153" s="14" t="inlineStr">
        <is>
          <t>合规性审查</t>
        </is>
      </c>
      <c r="C153" s="14" t="inlineStr">
        <is>
          <t>文件格式是否符合要求</t>
        </is>
      </c>
      <c r="E153" s="14" t="inlineStr">
        <is>
          <t>文件类型、分辨率、大小是否在允许范围内</t>
        </is>
      </c>
      <c r="G153" s="14" t="inlineStr">
        <is>
          <t>雨瑶人员激励参半销售数据2.xlsx；郑州雨瑶5.1-5.20人员激励活动结算单.jpg；转账截图2张</t>
        </is>
      </c>
      <c r="I153" s="14" t="inlineStr">
        <is>
          <t>ZIP入口校验文件可读性、单文件大小和安全解压；Excel与图片均已成功读取。</t>
        </is>
      </c>
      <c r="K153" s="19" t="inlineStr">
        <is>
          <t>部分验证</t>
        </is>
      </c>
      <c r="L153" s="14" t="inlineStr">
        <is>
          <t>判定依据：收到4个文件，销售Excel有效明细70行；但业务未提供允许的图片分辨率和文件大小阈值。
能力边界/补证：可读取不等于完全符合格式制度；需补充允许类型、最低分辨率和大小范围。</t>
        </is>
      </c>
    </row>
    <row r="154" ht="108" customHeight="1">
      <c r="A154" s="14" t="inlineStr">
        <is>
          <t>5</t>
        </is>
      </c>
      <c r="B154" s="14" t="inlineStr">
        <is>
          <t>合规性审查</t>
        </is>
      </c>
      <c r="C154" s="14" t="inlineStr">
        <is>
          <t>费用金额是否合理</t>
        </is>
      </c>
      <c r="E154" s="14" t="inlineStr">
        <is>
          <t>费用明细金额与活动预算比较，偏差超过30%标记异常</t>
        </is>
      </c>
      <c r="G154" s="14" t="inlineStr">
        <is>
          <t>郑州雨瑶5.1-5.20人员激励活动结算单.jpg；雨瑶人员激励参半销售数据2.xlsx；转账截图</t>
        </is>
      </c>
      <c r="I154" s="14" t="inlineStr">
        <is>
          <t>逐SKU计算数量×奖励单价，并比较结算行总额、转账总额和申报金额。</t>
        </is>
      </c>
      <c r="K154" s="19" t="inlineStr">
        <is>
          <t>部分验证</t>
        </is>
      </c>
      <c r="L154" s="14" t="inlineStr">
        <is>
          <t>判定依据：10条SKU计算及结算行总额均为7353.00元，去重转账总额为7353.00元；申报7350.00元，差额-3.00元（0.04%）。未提供独立活动预算。
能力边界/补证：30%预算规则不能在没有预算表时判定；现有结果只证明结算、销售和转账之间的勾稽关系。</t>
        </is>
      </c>
    </row>
    <row r="155" ht="108" customHeight="1">
      <c r="A155" s="14" t="inlineStr">
        <is>
          <t>6</t>
        </is>
      </c>
      <c r="B155" s="14" t="inlineStr">
        <is>
          <t>合规性审查</t>
        </is>
      </c>
      <c r="C155" s="14" t="inlineStr">
        <is>
          <t>票据信息是否完整</t>
        </is>
      </c>
      <c r="E155" s="14" t="inlineStr">
        <is>
          <t>发票代码、号码、金额、日期、购销方信息完整性</t>
        </is>
      </c>
      <c r="G155" s="14" t="inlineStr">
        <is>
          <t>本包未提交发票</t>
        </is>
      </c>
      <c r="I155" s="14" t="inlineStr">
        <is>
          <t>盘点文件类型，未把结算单或转账截图误认作发票。</t>
        </is>
      </c>
      <c r="K155" s="23" t="inlineStr">
        <is>
          <t>本案未触发</t>
        </is>
      </c>
      <c r="L155" s="14" t="inlineStr">
        <is>
          <t>判定依据：人员激励包包含销售Excel、结算单和转账截图，没有发票代码、号码、购销方等可核字段。
能力边界/补证：如公司制度规定人员激励必须附发票，应改判为证据不足并要求补交发票。</t>
        </is>
      </c>
    </row>
    <row r="156" ht="108" customHeight="1">
      <c r="A156" s="14" t="inlineStr">
        <is>
          <t>7</t>
        </is>
      </c>
      <c r="B156" s="14" t="inlineStr">
        <is>
          <t>合规性审查</t>
        </is>
      </c>
      <c r="C156" s="14" t="inlineStr">
        <is>
          <t>合同条款是否匹配</t>
        </is>
      </c>
      <c r="E156" s="14" t="inlineStr">
        <is>
          <t>合同约定金额不低于发票总额，付款周期与开票日期一致</t>
        </is>
      </c>
      <c r="G156" s="14" t="inlineStr">
        <is>
          <t>本包未提交合同；使用最终结算单及转账证明</t>
        </is>
      </c>
      <c r="I156" s="14" t="inlineStr">
        <is>
          <t>检查活动期间、SKU数量、奖励单价、结算金额和转账金额；没有把结算单等同于合同。</t>
        </is>
      </c>
      <c r="K156" s="23" t="inlineStr">
        <is>
          <t>本案未触发</t>
        </is>
      </c>
      <c r="L156" s="14" t="inlineStr">
        <is>
          <t>判定依据：可验证2026-05-01至2026-05-20的结算口径，但无合同金额、付款周期或开票日期可比。
能力边界/补证：如人员激励需要合同约束，应补充合同、付款周期及相应票据后再判断合同条款。</t>
        </is>
      </c>
    </row>
    <row r="158" ht="24" customHeight="1">
      <c r="A158" s="11" t="inlineStr">
        <is>
          <t>异常、影响与补证清单</t>
        </is>
      </c>
    </row>
    <row r="159" ht="42" customHeight="1">
      <c r="A159" s="12" t="inlineStr">
        <is>
          <t>高风险影响数量、金额或核心证据；中风险表示映射、身份、日期或真实性证据仍需说明。</t>
        </is>
      </c>
    </row>
    <row r="160" ht="30" customHeight="1">
      <c r="A160" s="13" t="inlineStr">
        <is>
          <t>序号</t>
        </is>
      </c>
      <c r="B160" s="13" t="inlineStr">
        <is>
          <t>等级</t>
        </is>
      </c>
      <c r="C160" s="13" t="inlineStr">
        <is>
          <t>异常代码</t>
        </is>
      </c>
      <c r="E160" s="13" t="inlineStr">
        <is>
          <t>发现及来源</t>
        </is>
      </c>
      <c r="I160" s="13" t="inlineStr">
        <is>
          <t>金额/结论影响</t>
        </is>
      </c>
      <c r="K160" s="13" t="inlineStr">
        <is>
          <t>补证或处理建议</t>
        </is>
      </c>
    </row>
    <row r="161" ht="108" customHeight="1">
      <c r="A161" s="19" t="n">
        <v>1</v>
      </c>
      <c r="B161" s="19" t="inlineStr">
        <is>
          <t>中</t>
        </is>
      </c>
      <c r="C161" s="19" t="inlineStr">
        <is>
          <t>NON_HIGH_CONFIDENCE_SKU_MAPPING</t>
        </is>
      </c>
      <c r="E161" s="19" t="inlineStr">
        <is>
          <t>结算单第1行SKU映射置信度为medium。
来源：settlement line 1</t>
        </is>
      </c>
      <c r="I161" s="19" t="inlineStr">
        <is>
          <t>逐项数量虽然可计算，但商品身份仍有不确定性。</t>
        </is>
      </c>
      <c r="K161" s="19" t="inlineStr">
        <is>
          <t>补充结算单条码或商品主数据映射。</t>
        </is>
      </c>
    </row>
    <row r="162" ht="108" customHeight="1">
      <c r="A162" s="19" t="n">
        <v>2</v>
      </c>
      <c r="B162" s="19" t="inlineStr">
        <is>
          <t>中</t>
        </is>
      </c>
      <c r="C162" s="19" t="inlineStr">
        <is>
          <t>NON_HIGH_CONFIDENCE_SKU_MAPPING</t>
        </is>
      </c>
      <c r="E162" s="19" t="inlineStr">
        <is>
          <t>结算单第2行SKU映射置信度为medium。
来源：settlement line 2</t>
        </is>
      </c>
      <c r="I162" s="19" t="inlineStr">
        <is>
          <t>逐项数量虽然可计算，但商品身份仍有不确定性。</t>
        </is>
      </c>
      <c r="K162" s="19" t="inlineStr">
        <is>
          <t>补充结算单条码或商品主数据映射。</t>
        </is>
      </c>
    </row>
    <row r="163" ht="108" customHeight="1">
      <c r="A163" s="19" t="n">
        <v>3</v>
      </c>
      <c r="B163" s="19" t="inlineStr">
        <is>
          <t>中</t>
        </is>
      </c>
      <c r="C163" s="19" t="inlineStr">
        <is>
          <t>NON_HIGH_CONFIDENCE_SKU_MAPPING</t>
        </is>
      </c>
      <c r="E163" s="19" t="inlineStr">
        <is>
          <t>结算单第3行SKU映射置信度为medium。
来源：settlement line 3</t>
        </is>
      </c>
      <c r="I163" s="19" t="inlineStr">
        <is>
          <t>逐项数量虽然可计算，但商品身份仍有不确定性。</t>
        </is>
      </c>
      <c r="K163" s="19" t="inlineStr">
        <is>
          <t>补充结算单条码或商品主数据映射。</t>
        </is>
      </c>
    </row>
    <row r="164" ht="108" customHeight="1">
      <c r="A164" s="19" t="n">
        <v>4</v>
      </c>
      <c r="B164" s="19" t="inlineStr">
        <is>
          <t>中</t>
        </is>
      </c>
      <c r="C164" s="19" t="inlineStr">
        <is>
          <t>NON_HIGH_CONFIDENCE_SKU_MAPPING</t>
        </is>
      </c>
      <c r="E164" s="19" t="inlineStr">
        <is>
          <t>结算单第4行SKU映射置信度为medium。
来源：settlement line 4</t>
        </is>
      </c>
      <c r="I164" s="19" t="inlineStr">
        <is>
          <t>逐项数量虽然可计算，但商品身份仍有不确定性。</t>
        </is>
      </c>
      <c r="K164" s="19" t="inlineStr">
        <is>
          <t>补充结算单条码或商品主数据映射。</t>
        </is>
      </c>
    </row>
    <row r="165" ht="108" customHeight="1">
      <c r="A165" s="19" t="n">
        <v>5</v>
      </c>
      <c r="B165" s="19" t="inlineStr">
        <is>
          <t>中</t>
        </is>
      </c>
      <c r="C165" s="19" t="inlineStr">
        <is>
          <t>NON_HIGH_CONFIDENCE_SKU_MAPPING</t>
        </is>
      </c>
      <c r="E165" s="19" t="inlineStr">
        <is>
          <t>结算单第5行SKU映射置信度为medium。
来源：settlement line 5</t>
        </is>
      </c>
      <c r="I165" s="19" t="inlineStr">
        <is>
          <t>逐项数量虽然可计算，但商品身份仍有不确定性。</t>
        </is>
      </c>
      <c r="K165" s="19" t="inlineStr">
        <is>
          <t>补充结算单条码或商品主数据映射。</t>
        </is>
      </c>
    </row>
    <row r="166" ht="108" customHeight="1">
      <c r="A166" s="19" t="n">
        <v>6</v>
      </c>
      <c r="B166" s="19" t="inlineStr">
        <is>
          <t>中</t>
        </is>
      </c>
      <c r="C166" s="19" t="inlineStr">
        <is>
          <t>NON_HIGH_CONFIDENCE_SKU_MAPPING</t>
        </is>
      </c>
      <c r="E166" s="19" t="inlineStr">
        <is>
          <t>结算单第6行SKU映射置信度为medium。
来源：settlement line 6</t>
        </is>
      </c>
      <c r="I166" s="19" t="inlineStr">
        <is>
          <t>逐项数量虽然可计算，但商品身份仍有不确定性。</t>
        </is>
      </c>
      <c r="K166" s="19" t="inlineStr">
        <is>
          <t>补充结算单条码或商品主数据映射。</t>
        </is>
      </c>
    </row>
    <row r="167" ht="108" customHeight="1">
      <c r="A167" s="19" t="n">
        <v>7</v>
      </c>
      <c r="B167" s="19" t="inlineStr">
        <is>
          <t>中</t>
        </is>
      </c>
      <c r="C167" s="19" t="inlineStr">
        <is>
          <t>NON_HIGH_CONFIDENCE_SKU_MAPPING</t>
        </is>
      </c>
      <c r="E167" s="19" t="inlineStr">
        <is>
          <t>结算单第7行SKU映射置信度为medium。
来源：settlement line 7</t>
        </is>
      </c>
      <c r="I167" s="19" t="inlineStr">
        <is>
          <t>逐项数量虽然可计算，但商品身份仍有不确定性。</t>
        </is>
      </c>
      <c r="K167" s="19" t="inlineStr">
        <is>
          <t>补充结算单条码或商品主数据映射。</t>
        </is>
      </c>
    </row>
    <row r="168" ht="108" customHeight="1">
      <c r="A168" s="19" t="n">
        <v>8</v>
      </c>
      <c r="B168" s="19" t="inlineStr">
        <is>
          <t>中</t>
        </is>
      </c>
      <c r="C168" s="19" t="inlineStr">
        <is>
          <t>NON_HIGH_CONFIDENCE_SKU_MAPPING</t>
        </is>
      </c>
      <c r="E168" s="19" t="inlineStr">
        <is>
          <t>结算单第8行SKU映射置信度为medium。
来源：settlement line 8</t>
        </is>
      </c>
      <c r="I168" s="19" t="inlineStr">
        <is>
          <t>逐项数量虽然可计算，但商品身份仍有不确定性。</t>
        </is>
      </c>
      <c r="K168" s="19" t="inlineStr">
        <is>
          <t>补充结算单条码或商品主数据映射。</t>
        </is>
      </c>
    </row>
    <row r="169" ht="108" customHeight="1">
      <c r="A169" s="19" t="n">
        <v>9</v>
      </c>
      <c r="B169" s="19" t="inlineStr">
        <is>
          <t>中</t>
        </is>
      </c>
      <c r="C169" s="19" t="inlineStr">
        <is>
          <t>NON_HIGH_CONFIDENCE_SKU_MAPPING</t>
        </is>
      </c>
      <c r="E169" s="19" t="inlineStr">
        <is>
          <t>结算单第9行SKU映射置信度为medium。
来源：settlement line 9</t>
        </is>
      </c>
      <c r="I169" s="19" t="inlineStr">
        <is>
          <t>逐项数量虽然可计算，但商品身份仍有不确定性。</t>
        </is>
      </c>
      <c r="K169" s="19" t="inlineStr">
        <is>
          <t>补充结算单条码或商品主数据映射。</t>
        </is>
      </c>
    </row>
    <row r="170" ht="108" customHeight="1">
      <c r="A170" s="19" t="n">
        <v>10</v>
      </c>
      <c r="B170" s="19" t="inlineStr">
        <is>
          <t>中</t>
        </is>
      </c>
      <c r="C170" s="19" t="inlineStr">
        <is>
          <t>NON_HIGH_CONFIDENCE_SKU_MAPPING</t>
        </is>
      </c>
      <c r="E170" s="19" t="inlineStr">
        <is>
          <t>结算单第10行SKU映射置信度为medium。
来源：settlement line 10</t>
        </is>
      </c>
      <c r="I170" s="19" t="inlineStr">
        <is>
          <t>逐项数量虽然可计算，但商品身份仍有不确定性。</t>
        </is>
      </c>
      <c r="K170" s="19" t="inlineStr">
        <is>
          <t>补充结算单条码或商品主数据映射。</t>
        </is>
      </c>
    </row>
    <row r="171" ht="108" customHeight="1">
      <c r="A171" s="19" t="n">
        <v>11</v>
      </c>
      <c r="B171" s="19" t="inlineStr">
        <is>
          <t>中</t>
        </is>
      </c>
      <c r="C171" s="19" t="inlineStr">
        <is>
          <t>CLAIM_DIFFERS_FROM_SETTLEMENT_LINES</t>
        </is>
      </c>
      <c r="E171" s="19" t="inlineStr">
        <is>
          <t>实际核销金额7350.00与结算单逐行合计7353.00相差-3.00元。</t>
        </is>
      </c>
      <c r="I171" s="19" t="inlineStr">
        <is>
          <t>需要明确人工调整、舍尾或扣减口径。</t>
        </is>
      </c>
      <c r="K171" s="19" t="inlineStr">
        <is>
          <t>提供差额说明并在审批记录中保留调整依据。</t>
        </is>
      </c>
    </row>
    <row r="172" ht="108" customHeight="1">
      <c r="A172" s="19" t="n">
        <v>12</v>
      </c>
      <c r="B172" s="19" t="inlineStr">
        <is>
          <t>中</t>
        </is>
      </c>
      <c r="C172" s="19" t="inlineStr">
        <is>
          <t>TRANSFER_STORE_IDENTITY_NOT_VISIBLE</t>
        </is>
      </c>
      <c r="E172" s="19" t="inlineStr">
        <is>
          <t>转账截图未显示可核验的门店/收款人身份，只能按金额集合勾稽。</t>
        </is>
      </c>
      <c r="I172" s="19" t="inlineStr">
        <is>
          <t>无法证明每笔款项实际支付给对应门店。</t>
        </is>
      </c>
      <c r="K172" s="19" t="inlineStr">
        <is>
          <t>补充显示收款人、门店映射和交易单号的转账详情。</t>
        </is>
      </c>
    </row>
    <row r="173" ht="108" customHeight="1">
      <c r="A173" s="19" t="n">
        <v>13</v>
      </c>
      <c r="B173" s="19" t="inlineStr">
        <is>
          <t>中</t>
        </is>
      </c>
      <c r="C173" s="19" t="inlineStr">
        <is>
          <t>TRANSFER_DATE_NOT_VISIBLE</t>
        </is>
      </c>
      <c r="E173" s="19" t="inlineStr">
        <is>
          <t>转账截图未显示完整交易日期。</t>
        </is>
      </c>
      <c r="I173" s="19" t="inlineStr">
        <is>
          <t>无法独立确认付款发生在活动结算周期内。</t>
        </is>
      </c>
      <c r="K173" s="19" t="inlineStr">
        <is>
          <t>补充带交易日期和交易单号的明细。</t>
        </is>
      </c>
    </row>
    <row r="175" ht="24" customHeight="1">
      <c r="A175" s="11" t="inlineStr">
        <is>
          <t>模型调用量与失败重试</t>
        </is>
      </c>
    </row>
    <row r="176" ht="42" customHeight="1">
      <c r="A176" s="12" t="inlineStr">
        <is>
          <t>这里只保存结构化调用次数、重试和Token统计，不保存stdout/stderr、模型事件流或其他运行日志。</t>
        </is>
      </c>
    </row>
    <row r="177" ht="30" customHeight="1">
      <c r="A177" s="13" t="inlineStr">
        <is>
          <t>模型</t>
        </is>
      </c>
      <c r="B177" s="13" t="inlineStr">
        <is>
          <t>调用次数</t>
        </is>
      </c>
      <c r="C177" s="13" t="inlineStr">
        <is>
          <t>成功次数</t>
        </is>
      </c>
      <c r="D177" s="13" t="inlineStr">
        <is>
          <t>失败次数</t>
        </is>
      </c>
      <c r="E177" s="13" t="inlineStr">
        <is>
          <t>重试次数</t>
        </is>
      </c>
      <c r="F177" s="13" t="inlineStr">
        <is>
          <t>输入Token</t>
        </is>
      </c>
      <c r="G177" s="13" t="inlineStr">
        <is>
          <t>缓存输入Token</t>
        </is>
      </c>
      <c r="H177" s="13" t="inlineStr">
        <is>
          <t>输出Token</t>
        </is>
      </c>
      <c r="I177" s="13" t="inlineStr">
        <is>
          <t>推理输出Token</t>
        </is>
      </c>
      <c r="J177" s="13" t="inlineStr">
        <is>
          <t>总Token</t>
        </is>
      </c>
    </row>
    <row r="178" ht="36" customHeight="1">
      <c r="A178" s="14" t="inlineStr">
        <is>
          <t>default</t>
        </is>
      </c>
      <c r="B178" s="15" t="n">
        <v>1</v>
      </c>
      <c r="C178" s="15" t="n">
        <v>1</v>
      </c>
      <c r="D178" s="15" t="n">
        <v>0</v>
      </c>
      <c r="E178" s="15" t="n">
        <v>0</v>
      </c>
      <c r="F178" s="15" t="n">
        <v>1450731</v>
      </c>
      <c r="G178" s="15" t="n">
        <v>1339648</v>
      </c>
      <c r="H178" s="15" t="n">
        <v>32644</v>
      </c>
      <c r="I178" s="15" t="n">
        <v>16528</v>
      </c>
      <c r="J178" s="15" t="n">
        <v>1483375</v>
      </c>
    </row>
    <row r="180" ht="30" customHeight="1">
      <c r="A180" s="13" t="inlineStr">
        <is>
          <t>尝试序号</t>
        </is>
      </c>
      <c r="B180" s="13" t="inlineStr">
        <is>
          <t>状态</t>
        </is>
      </c>
      <c r="C180" s="13" t="inlineStr">
        <is>
          <t>退出码</t>
        </is>
      </c>
      <c r="D180" s="13" t="inlineStr">
        <is>
          <t>失败原因摘要</t>
        </is>
      </c>
      <c r="E180" s="13" t="inlineStr">
        <is>
          <t>输入Token</t>
        </is>
      </c>
      <c r="F180" s="13" t="inlineStr">
        <is>
          <t>缓存输入Token</t>
        </is>
      </c>
      <c r="G180" s="13" t="inlineStr">
        <is>
          <t>输出Token</t>
        </is>
      </c>
      <c r="H180" s="13" t="inlineStr">
        <is>
          <t>推理Token</t>
        </is>
      </c>
      <c r="I180" s="13" t="inlineStr">
        <is>
          <t>总Token</t>
        </is>
      </c>
    </row>
    <row r="181" ht="36" customHeight="1">
      <c r="A181" s="14" t="n">
        <v>1</v>
      </c>
      <c r="B181" s="14" t="inlineStr">
        <is>
          <t>成功</t>
        </is>
      </c>
      <c r="C181" s="14" t="n">
        <v>0</v>
      </c>
      <c r="D181" s="14" t="n"/>
      <c r="E181" s="14" t="n">
        <v>1450731</v>
      </c>
      <c r="F181" s="14" t="n">
        <v>1339648</v>
      </c>
      <c r="G181" s="14" t="n">
        <v>32644</v>
      </c>
      <c r="H181" s="14" t="n">
        <v>16528</v>
      </c>
      <c r="I181" s="14" t="n">
        <v>1483375</v>
      </c>
    </row>
  </sheetData>
  <mergeCells count="195">
    <mergeCell ref="I168:J168"/>
    <mergeCell ref="F16:G16"/>
    <mergeCell ref="A159:M159"/>
    <mergeCell ref="B22:C22"/>
    <mergeCell ref="C172:D172"/>
    <mergeCell ref="K161:M161"/>
    <mergeCell ref="C162:D162"/>
    <mergeCell ref="B12:C12"/>
    <mergeCell ref="K170:M170"/>
    <mergeCell ref="C171:D171"/>
    <mergeCell ref="B21:C21"/>
    <mergeCell ref="E156:F156"/>
    <mergeCell ref="L12:M12"/>
    <mergeCell ref="E153:F153"/>
    <mergeCell ref="F15:G15"/>
    <mergeCell ref="D13:E13"/>
    <mergeCell ref="A175:M175"/>
    <mergeCell ref="E155:F155"/>
    <mergeCell ref="C164:D164"/>
    <mergeCell ref="B14:C14"/>
    <mergeCell ref="C173:D173"/>
    <mergeCell ref="K160:M160"/>
    <mergeCell ref="L14:M14"/>
    <mergeCell ref="I171:J171"/>
    <mergeCell ref="B13:C13"/>
    <mergeCell ref="C163:D163"/>
    <mergeCell ref="D23:F23"/>
    <mergeCell ref="I155:J155"/>
    <mergeCell ref="E171:H171"/>
    <mergeCell ref="I173:J173"/>
    <mergeCell ref="I170:J170"/>
    <mergeCell ref="F13:G13"/>
    <mergeCell ref="H13:I13"/>
    <mergeCell ref="I166:J166"/>
    <mergeCell ref="J21:K21"/>
    <mergeCell ref="B24:C24"/>
    <mergeCell ref="C149:D149"/>
    <mergeCell ref="E173:H173"/>
    <mergeCell ref="A27:M27"/>
    <mergeCell ref="I172:J172"/>
    <mergeCell ref="H15:I15"/>
    <mergeCell ref="A18:M18"/>
    <mergeCell ref="J4:M4"/>
    <mergeCell ref="A6:C6"/>
    <mergeCell ref="H23:I23"/>
    <mergeCell ref="E166:H166"/>
    <mergeCell ref="J23:K23"/>
    <mergeCell ref="K173:M173"/>
    <mergeCell ref="G149:H149"/>
    <mergeCell ref="A2:M2"/>
    <mergeCell ref="I149:J149"/>
    <mergeCell ref="A42:M42"/>
    <mergeCell ref="E163:H163"/>
    <mergeCell ref="K165:M165"/>
    <mergeCell ref="B16:C16"/>
    <mergeCell ref="B25:C25"/>
    <mergeCell ref="E168:H168"/>
    <mergeCell ref="L16:M16"/>
    <mergeCell ref="A141:M141"/>
    <mergeCell ref="G6:I6"/>
    <mergeCell ref="G151:H151"/>
    <mergeCell ref="I151:J151"/>
    <mergeCell ref="A3:C3"/>
    <mergeCell ref="I160:J160"/>
    <mergeCell ref="A28:M28"/>
    <mergeCell ref="H25:I25"/>
    <mergeCell ref="B11:C11"/>
    <mergeCell ref="D11:E11"/>
    <mergeCell ref="L151:M151"/>
    <mergeCell ref="A176:M176"/>
    <mergeCell ref="D3:F3"/>
    <mergeCell ref="G4:I4"/>
    <mergeCell ref="D25:F25"/>
    <mergeCell ref="A4:C4"/>
    <mergeCell ref="I162:J162"/>
    <mergeCell ref="H11:I11"/>
    <mergeCell ref="J11:K11"/>
    <mergeCell ref="J20:K20"/>
    <mergeCell ref="K162:M162"/>
    <mergeCell ref="K171:M171"/>
    <mergeCell ref="J22:K22"/>
    <mergeCell ref="E154:F154"/>
    <mergeCell ref="E170:H170"/>
    <mergeCell ref="G154:H154"/>
    <mergeCell ref="L149:M149"/>
    <mergeCell ref="H12:I12"/>
    <mergeCell ref="K164:M164"/>
    <mergeCell ref="J12:K12"/>
    <mergeCell ref="B15:C15"/>
    <mergeCell ref="D15:E15"/>
    <mergeCell ref="C165:D165"/>
    <mergeCell ref="C155:D155"/>
    <mergeCell ref="K163:M163"/>
    <mergeCell ref="H14:I14"/>
    <mergeCell ref="D21:F21"/>
    <mergeCell ref="A7:C7"/>
    <mergeCell ref="A129:M129"/>
    <mergeCell ref="C151:D151"/>
    <mergeCell ref="A8:M8"/>
    <mergeCell ref="G155:H155"/>
    <mergeCell ref="E151:F151"/>
    <mergeCell ref="C160:D160"/>
    <mergeCell ref="C166:D166"/>
    <mergeCell ref="J3:M3"/>
    <mergeCell ref="A140:M140"/>
    <mergeCell ref="G3:I3"/>
    <mergeCell ref="D7:F7"/>
    <mergeCell ref="E150:F150"/>
    <mergeCell ref="A10:M10"/>
    <mergeCell ref="A19:M19"/>
    <mergeCell ref="H21:I21"/>
    <mergeCell ref="A117:M117"/>
    <mergeCell ref="J24:K24"/>
    <mergeCell ref="C152:D152"/>
    <mergeCell ref="E152:F152"/>
    <mergeCell ref="A9:M9"/>
    <mergeCell ref="I150:J150"/>
    <mergeCell ref="K166:M166"/>
    <mergeCell ref="E149:F149"/>
    <mergeCell ref="E160:H160"/>
    <mergeCell ref="I165:J165"/>
    <mergeCell ref="G152:H152"/>
    <mergeCell ref="I152:J152"/>
    <mergeCell ref="L153:M153"/>
    <mergeCell ref="A1:M1"/>
    <mergeCell ref="H16:I16"/>
    <mergeCell ref="I161:J161"/>
    <mergeCell ref="K168:M168"/>
    <mergeCell ref="J16:K16"/>
    <mergeCell ref="J25:K25"/>
    <mergeCell ref="K167:M167"/>
    <mergeCell ref="H22:I22"/>
    <mergeCell ref="D20:F20"/>
    <mergeCell ref="E161:H161"/>
    <mergeCell ref="D12:E12"/>
    <mergeCell ref="L152:M152"/>
    <mergeCell ref="G153:H153"/>
    <mergeCell ref="I153:J153"/>
    <mergeCell ref="C161:D161"/>
    <mergeCell ref="B20:C20"/>
    <mergeCell ref="D22:F22"/>
    <mergeCell ref="L155:M155"/>
    <mergeCell ref="C170:D170"/>
    <mergeCell ref="L11:M11"/>
    <mergeCell ref="D14:E14"/>
    <mergeCell ref="F14:G14"/>
    <mergeCell ref="D6:F6"/>
    <mergeCell ref="C154:D154"/>
    <mergeCell ref="G7:I7"/>
    <mergeCell ref="F11:G11"/>
    <mergeCell ref="H20:I20"/>
    <mergeCell ref="E162:H162"/>
    <mergeCell ref="I164:J164"/>
    <mergeCell ref="J14:K14"/>
    <mergeCell ref="C156:D156"/>
    <mergeCell ref="L150:M150"/>
    <mergeCell ref="A147:M147"/>
    <mergeCell ref="I154:J154"/>
    <mergeCell ref="E172:H172"/>
    <mergeCell ref="J13:K13"/>
    <mergeCell ref="A43:M43"/>
    <mergeCell ref="I163:J163"/>
    <mergeCell ref="L13:M13"/>
    <mergeCell ref="E164:H164"/>
    <mergeCell ref="F12:G12"/>
    <mergeCell ref="G156:H156"/>
    <mergeCell ref="I156:J156"/>
    <mergeCell ref="J15:K15"/>
    <mergeCell ref="D4:F4"/>
    <mergeCell ref="L15:M15"/>
    <mergeCell ref="B23:C23"/>
    <mergeCell ref="A130:M130"/>
    <mergeCell ref="C168:D168"/>
    <mergeCell ref="A148:M148"/>
    <mergeCell ref="C167:D167"/>
    <mergeCell ref="D24:F24"/>
    <mergeCell ref="E165:H165"/>
    <mergeCell ref="D16:E16"/>
    <mergeCell ref="K172:M172"/>
    <mergeCell ref="L156:M156"/>
    <mergeCell ref="C169:D169"/>
    <mergeCell ref="J6:M6"/>
    <mergeCell ref="I167:J167"/>
    <mergeCell ref="C150:D150"/>
    <mergeCell ref="C153:D153"/>
    <mergeCell ref="A118:M118"/>
    <mergeCell ref="A158:M158"/>
    <mergeCell ref="H24:I24"/>
    <mergeCell ref="E167:H167"/>
    <mergeCell ref="I169:J169"/>
    <mergeCell ref="G150:H150"/>
    <mergeCell ref="L154:M154"/>
    <mergeCell ref="J7:M7"/>
    <mergeCell ref="K169:M169"/>
    <mergeCell ref="E169:H169"/>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ED7D31"/>
    <outlinePr summaryBelow="1" summaryRight="1"/>
    <pageSetUpPr fitToPage="1"/>
  </sheetPr>
  <dimension ref="A1:M175"/>
  <sheetViews>
    <sheetView showGridLines="0" zoomScale="70" workbookViewId="0">
      <pane ySplit="8" topLeftCell="A9" activePane="bottomLeft" state="frozen"/>
      <selection pane="bottomLeft" activeCell="A1" sqref="A1"/>
    </sheetView>
  </sheetViews>
  <sheetFormatPr baseColWidth="8" defaultRowHeight="15"/>
  <cols>
    <col width="10" customWidth="1" min="1" max="1"/>
    <col width="30" customWidth="1" min="2" max="2"/>
    <col width="34" customWidth="1" min="3" max="3"/>
    <col width="17" customWidth="1" min="4" max="4"/>
    <col width="36" customWidth="1" min="5" max="5"/>
    <col width="14" customWidth="1" min="6" max="6"/>
    <col width="15" customWidth="1" min="7" max="7"/>
    <col width="15" customWidth="1" min="8" max="8"/>
    <col width="18" customWidth="1" min="9" max="9"/>
    <col width="14" customWidth="1" min="10" max="10"/>
    <col width="15" customWidth="1" min="11" max="11"/>
    <col width="52" customWidth="1" min="12" max="12"/>
    <col width="52" customWidth="1" min="13" max="13"/>
  </cols>
  <sheetData>
    <row r="1" ht="28" customHeight="1">
      <c r="A1" s="1" t="inlineStr">
        <is>
          <t>堆头核销：合同、销售、逐店照片、真实性风险与最终结论</t>
        </is>
      </c>
    </row>
    <row r="2" ht="42" customHeight="1">
      <c r="A2" s="2" t="inlineStr">
        <is>
          <t>阅读顺序：合同20家及陈列规则 → 销售客户/期间 → 21张照片逐店绑定 → 日期/地点/陈列/重复五项控制 → 支持金额。</t>
        </is>
      </c>
    </row>
    <row r="3" ht="20" customHeight="1">
      <c r="A3" s="3" t="inlineStr">
        <is>
          <t>合同/申请金额（元）</t>
        </is>
      </c>
      <c r="D3" s="3" t="inlineStr">
        <is>
          <t>逐店证据支持金额（元）</t>
        </is>
      </c>
      <c r="G3" s="3" t="inlineStr">
        <is>
          <t>建议通过金额（元）</t>
        </is>
      </c>
      <c r="J3" s="3" t="inlineStr">
        <is>
          <t>暂挂金额（元）</t>
        </is>
      </c>
    </row>
    <row r="4" ht="30" customHeight="1">
      <c r="A4" s="4" t="n">
        <v>20000</v>
      </c>
      <c r="D4" s="5">
        <f>K79</f>
        <v/>
      </c>
      <c r="G4" s="5">
        <f>MIN(A4,D4)</f>
        <v/>
      </c>
      <c r="J4" s="6">
        <f>A4-G4</f>
        <v/>
      </c>
    </row>
    <row r="6" ht="20" customHeight="1">
      <c r="A6" s="3" t="inlineStr">
        <is>
          <t>合同门店</t>
        </is>
      </c>
      <c r="D6" s="3" t="inlineStr">
        <is>
          <t>逐店通过</t>
        </is>
      </c>
      <c r="G6" s="3" t="inlineStr">
        <is>
          <t>待补件门店</t>
        </is>
      </c>
      <c r="J6" s="3" t="inlineStr">
        <is>
          <t>最终结论</t>
        </is>
      </c>
    </row>
    <row r="7" ht="30" customHeight="1">
      <c r="A7" s="7" t="inlineStr">
        <is>
          <t>20家</t>
        </is>
      </c>
      <c r="D7" s="8">
        <f>COUNTIF(J59:J78,"通过")&amp;"/20"</f>
        <v/>
      </c>
      <c r="G7" s="9">
        <f>COUNTIF(J59:J78,"补证")&amp;"家"</f>
        <v/>
      </c>
      <c r="J7" s="7" t="inlineStr">
        <is>
          <t>待补件</t>
        </is>
      </c>
    </row>
    <row r="8" ht="30" customHeight="1">
      <c r="A8" s="10" t="inlineStr">
        <is>
          <t>运行ID：20260817-full-001　案件：SQ202603300076-HX202606040013-核销资料-诚成26年4月【堆头20家】　活动期：2026-04-01 至 2026-04-30　合同规则：1平方米堆头或4纵陈列　核心原则：照片文件名只用于归组，不作为地点证明。</t>
        </is>
      </c>
    </row>
    <row r="9" ht="24" customHeight="1">
      <c r="A9" s="11" t="inlineStr">
        <is>
          <t>核销步骤总览</t>
        </is>
      </c>
    </row>
    <row r="10" ht="42" customHeight="1">
      <c r="A10" s="12" t="inlineStr">
        <is>
          <t>每家1000元只有在照片、期间、门店、陈列和重复检查全部通过时才计入支持金额。</t>
        </is>
      </c>
    </row>
    <row r="11" ht="30" customHeight="1">
      <c r="A11" s="13" t="inlineStr">
        <is>
          <t>步骤</t>
        </is>
      </c>
      <c r="B11" s="13" t="inlineStr">
        <is>
          <t>读取文件</t>
        </is>
      </c>
      <c r="D11" s="13" t="inlineStr">
        <is>
          <t>读取内容</t>
        </is>
      </c>
      <c r="F11" s="13" t="inlineStr">
        <is>
          <t>处理/计算</t>
        </is>
      </c>
      <c r="H11" s="13" t="inlineStr">
        <is>
          <t>对比对象</t>
        </is>
      </c>
      <c r="J11" s="13" t="inlineStr">
        <is>
          <t>本步结果</t>
        </is>
      </c>
      <c r="L11" s="13" t="inlineStr">
        <is>
          <t>结论/限制</t>
        </is>
      </c>
    </row>
    <row r="12" ht="66" customHeight="1">
      <c r="A12" s="14" t="n">
        <v>1</v>
      </c>
      <c r="B12" s="14" t="inlineStr">
        <is>
          <t>诚成4月堆头陈列-经销商签订促销合同.pdf</t>
        </is>
      </c>
      <c r="D12" s="14" t="inlineStr">
        <is>
          <t>客户、活动期、20家门店、陈列标准、单店费用、申报金额、印章</t>
        </is>
      </c>
      <c r="F12" s="14" t="inlineStr">
        <is>
          <t>建立合同原始门店1—20行基准</t>
        </is>
      </c>
      <c r="H12" s="14" t="inlineStr">
        <is>
          <t>合同条款 ↔ 申报/照片</t>
        </is>
      </c>
      <c r="J12" s="14" t="inlineStr">
        <is>
          <t>20家×1000元=20000元</t>
        </is>
      </c>
      <c r="L12" s="14" t="inlineStr">
        <is>
          <t>合同门店是逐店判定基准</t>
        </is>
      </c>
    </row>
    <row r="13" ht="66" customHeight="1">
      <c r="A13" s="14" t="n">
        <v>2</v>
      </c>
      <c r="B13" s="14" t="inlineStr">
        <is>
          <t>2026年4月销售明细20260509164207765.xlsx</t>
        </is>
      </c>
      <c r="D13" s="14" t="inlineStr">
        <is>
          <t>客户、期间、商品编码、条码、商品、数量、零售价、金额</t>
        </is>
      </c>
      <c r="F13" s="14" t="inlineStr">
        <is>
          <t>汇总36个SKU并判断是否有门店字段</t>
        </is>
      </c>
      <c r="H13" s="14" t="inlineStr">
        <is>
          <t>销售客户/期间 ↔ 合同</t>
        </is>
      </c>
      <c r="J13" s="14" t="inlineStr">
        <is>
          <t>数量13744、零售金额352032元</t>
        </is>
      </c>
      <c r="L13" s="14" t="inlineStr">
        <is>
          <t>仅经销商汇总，不能证明20家逐店执行</t>
        </is>
      </c>
    </row>
    <row r="14" ht="66" customHeight="1">
      <c r="A14" s="14" t="n">
        <v>3</v>
      </c>
      <c r="B14" s="14" t="inlineStr">
        <is>
          <t>现场陈列照片21张</t>
        </is>
      </c>
      <c r="D14" s="14" t="inlineStr">
        <is>
          <t>画面日期、地点水印、陈列范围、清晰度；SHA/pHash/dHash、尺寸、EXIF、GPS</t>
        </is>
      </c>
      <c r="F14" s="14" t="inlineStr">
        <is>
          <t>按合同序号绑定照片并逐张查重</t>
        </is>
      </c>
      <c r="H14" s="14" t="inlineStr">
        <is>
          <t>21张照片 ↔ 合同20家门店</t>
        </is>
      </c>
      <c r="J14" s="14" t="inlineStr">
        <is>
          <t>已绑定21张照片</t>
        </is>
      </c>
      <c r="L14" s="14" t="inlineStr">
        <is>
          <t>第10家有2张，其余每家1张</t>
        </is>
      </c>
    </row>
    <row r="15" ht="66" customHeight="1">
      <c r="A15" s="14" t="n">
        <v>4</v>
      </c>
      <c r="B15" s="14" t="inlineStr">
        <is>
          <t>合同 + 逐店照片</t>
        </is>
      </c>
      <c r="D15" s="14" t="inlineStr">
        <is>
          <t>照片存在、期间、门店地点、陈列标准、重复情况</t>
        </is>
      </c>
      <c r="F15" s="14" t="inlineStr">
        <is>
          <t>五项控制逐店判断，全部通过才支持1000元</t>
        </is>
      </c>
      <c r="H15" s="14" t="inlineStr">
        <is>
          <t>合同每家 ↔ 对应现场照片</t>
        </is>
      </c>
      <c r="J15" s="14" t="inlineStr">
        <is>
          <t>16家通过、4家补证</t>
        </is>
      </c>
      <c r="L15" s="14" t="inlineStr">
        <is>
          <t>无EXIF/GPS时保留真实性边界</t>
        </is>
      </c>
    </row>
    <row r="16" ht="66" customHeight="1">
      <c r="A16" s="14" t="n">
        <v>5</v>
      </c>
      <c r="B16" s="14" t="inlineStr">
        <is>
          <t>上述全部材料</t>
        </is>
      </c>
      <c r="D16" s="14" t="inlineStr">
        <is>
          <t>逐店结果、销售支持、1.4.1和异常补证</t>
        </is>
      </c>
      <c r="F16" s="14" t="inlineStr">
        <is>
          <t>先计算逐店支持金额，再与申报比较</t>
        </is>
      </c>
      <c r="H16" s="14" t="inlineStr">
        <is>
          <t>申报金额 ↔ 逐店证据支持金额</t>
        </is>
      </c>
      <c r="J16" s="14" t="inlineStr">
        <is>
          <t>建议通过16000元、暂挂4000元</t>
        </is>
      </c>
      <c r="L16" s="14" t="inlineStr">
        <is>
          <t>6家补证要求在本页列示</t>
        </is>
      </c>
    </row>
    <row r="18" ht="24" customHeight="1">
      <c r="A18" s="11" t="inlineStr">
        <is>
          <t>一、读取了哪些文件、读到了什么</t>
        </is>
      </c>
    </row>
    <row r="19" ht="42" customHeight="1">
      <c r="A19" s="12" t="inlineStr">
        <is>
          <t>每个原始文件单独列示来源、读取字段、读取结果和后续比对对象；SHA-256只固定收到后的文件身份。</t>
        </is>
      </c>
    </row>
    <row r="20" ht="30" customHeight="1">
      <c r="A20" s="13" t="inlineStr">
        <is>
          <t>序号</t>
        </is>
      </c>
      <c r="B20" s="13" t="inlineStr">
        <is>
          <t>来源ZIP</t>
        </is>
      </c>
      <c r="D20" s="13" t="inlineStr">
        <is>
          <t>压缩包内文件</t>
        </is>
      </c>
      <c r="G20" s="13" t="inlineStr">
        <is>
          <t>文件角色</t>
        </is>
      </c>
      <c r="H20" s="13" t="inlineStr">
        <is>
          <t>具体读取位置/字段</t>
        </is>
      </c>
      <c r="J20" s="13" t="inlineStr">
        <is>
          <t>读取结果/数据量</t>
        </is>
      </c>
      <c r="L20" s="13" t="inlineStr">
        <is>
          <t>后续比对工作</t>
        </is>
      </c>
      <c r="M20" s="13" t="inlineStr">
        <is>
          <t>大小与文件SHA-256</t>
        </is>
      </c>
    </row>
    <row r="21" outlineLevel="1" ht="78" customHeight="1">
      <c r="A21" s="14" t="n">
        <v>1</v>
      </c>
      <c r="B21" s="14" t="inlineStr">
        <is>
          <t>SQ202603300076-HX202606040013-核销资料-诚成26年4月【堆头20家】.zip</t>
        </is>
      </c>
      <c r="D21" s="14" t="inlineStr">
        <is>
          <t>（ZIP输入包本身）</t>
        </is>
      </c>
      <c r="G21" s="14" t="inlineStr">
        <is>
          <t>输入压缩包</t>
        </is>
      </c>
      <c r="H21" s="14" t="inlineStr">
        <is>
          <t>检查路径穿越、符号链接、加密、重名、文件数、大小和压缩比。</t>
        </is>
      </c>
      <c r="J21" s="14" t="inlineStr">
        <is>
          <t>安全解压23个文件，共43452756字节。</t>
        </is>
      </c>
      <c r="L21" s="14" t="inlineStr">
        <is>
          <t>固定收到的材料范围并路由到堆头Skill。</t>
        </is>
      </c>
      <c r="M21" s="14" t="inlineStr">
        <is>
          <t>43,430,687字节
21216fbbf454cc0d2c59f1a55222d9e5d5b4887cccc3282a920251165d3af97a</t>
        </is>
      </c>
    </row>
    <row r="22" outlineLevel="1" ht="78" customHeight="1">
      <c r="A22" s="14" t="n">
        <v>2</v>
      </c>
      <c r="B22" s="14" t="inlineStr">
        <is>
          <t>SQ202603300076-HX202606040013-核销资料-诚成26年4月【堆头20家】.zip</t>
        </is>
      </c>
      <c r="D22" s="14" t="inlineStr">
        <is>
          <t>核销资料-诚成26年4月【堆头20家】/2026年4月销售明细20260509164207765.xlsx</t>
        </is>
      </c>
      <c r="G22" s="14" t="inlineStr">
        <is>
          <t>销售Excel</t>
        </is>
      </c>
      <c r="H22" s="14" t="inlineStr">
        <is>
          <t>工作表Sheet1；表头第1行；读取客户、业务期间、商品编码、条码、商品、数量、零售价和合计金额，并检查外部链接公式。</t>
        </is>
      </c>
      <c r="J22" s="14" t="inlineStr">
        <is>
          <t>有效明细36行、数量13744、零售金额352032；文件为经销商汇总，不能替代20家门店逐店执行证据。</t>
        </is>
      </c>
      <c r="L22" s="14" t="inlineStr">
        <is>
          <t>与合同比较客户和期间；仅支持总体销售，不能替代逐店照片。</t>
        </is>
      </c>
      <c r="M22" s="14" t="inlineStr">
        <is>
          <t>30,213字节
0504612568924d6686a2b752f56a5ff102fe727f901fbc631d808bd7cbfc3b48</t>
        </is>
      </c>
    </row>
    <row r="23" outlineLevel="1" ht="78" customHeight="1">
      <c r="A23" s="14" t="n">
        <v>3</v>
      </c>
      <c r="B23" s="14" t="inlineStr">
        <is>
          <t>SQ202603300076-HX202606040013-核销资料-诚成26年4月【堆头20家】.zip</t>
        </is>
      </c>
      <c r="D23" s="14" t="inlineStr">
        <is>
          <t>核销资料-诚成26年4月【堆头20家】/堆头照片/1.厚街汉邦66广场家家欣.jpg</t>
        </is>
      </c>
      <c r="G23" s="14" t="inlineStr">
        <is>
          <t>现场陈列照片</t>
        </is>
      </c>
      <c r="H23" s="14" t="inlineStr">
        <is>
          <t>按原始分辨率读取画面日期、地点/门店水印、陈列范围和清晰度；同时记录SHA-256、pHash、dHash、尺寸、EXIF时间和GPS。</t>
        </is>
      </c>
      <c r="J23" s="14" t="inlineStr">
        <is>
          <t>与合同门店逐店绑定；共21张照片支持16家通过、4家补证。</t>
        </is>
      </c>
      <c r="L23" s="14" t="inlineStr">
        <is>
          <t>绑定合同原始门店序号，逐店比较期间、地点、陈列和重复情况。</t>
        </is>
      </c>
      <c r="M23" s="14" t="inlineStr">
        <is>
          <t>491,884字节
2bc5b681403c0d0e05ba6394449fd73b18e211370dbdfc3b1e3166678fb33aad</t>
        </is>
      </c>
    </row>
    <row r="24" outlineLevel="1" ht="78" customHeight="1">
      <c r="A24" s="14" t="n">
        <v>4</v>
      </c>
      <c r="B24" s="14" t="inlineStr">
        <is>
          <t>SQ202603300076-HX202606040013-核销资料-诚成26年4月【堆头20家】.zip</t>
        </is>
      </c>
      <c r="D24" s="14" t="inlineStr">
        <is>
          <t>核销资料-诚成26年4月【堆头20家】/堆头照片/10-1挺拇指生活超市(横沥店).jpg</t>
        </is>
      </c>
      <c r="G24" s="14" t="inlineStr">
        <is>
          <t>现场陈列照片</t>
        </is>
      </c>
      <c r="H24" s="14" t="inlineStr">
        <is>
          <t>按原始分辨率读取画面日期、地点/门店水印、陈列范围和清晰度；同时记录SHA-256、pHash、dHash、尺寸、EXIF时间和GPS。</t>
        </is>
      </c>
      <c r="J24" s="14" t="inlineStr">
        <is>
          <t>与合同门店逐店绑定；共21张照片支持16家通过、4家补证。</t>
        </is>
      </c>
      <c r="L24" s="14" t="inlineStr">
        <is>
          <t>绑定合同原始门店序号，逐店比较期间、地点、陈列和重复情况。</t>
        </is>
      </c>
      <c r="M24" s="14" t="inlineStr">
        <is>
          <t>767,287字节
f12dd735b31b0e3be209767b443a5dde76af047139821839e1c380befa2f17ba</t>
        </is>
      </c>
    </row>
    <row r="25" outlineLevel="1" ht="78" customHeight="1">
      <c r="A25" s="14" t="n">
        <v>5</v>
      </c>
      <c r="B25" s="14" t="inlineStr">
        <is>
          <t>SQ202603300076-HX202606040013-核销资料-诚成26年4月【堆头20家】.zip</t>
        </is>
      </c>
      <c r="D25" s="14" t="inlineStr">
        <is>
          <t>核销资料-诚成26年4月【堆头20家】/堆头照片/10-2挺拇指生活超市(横沥店).jpg</t>
        </is>
      </c>
      <c r="G25" s="14" t="inlineStr">
        <is>
          <t>现场陈列照片</t>
        </is>
      </c>
      <c r="H25" s="14" t="inlineStr">
        <is>
          <t>按原始分辨率读取画面日期、地点/门店水印、陈列范围和清晰度；同时记录SHA-256、pHash、dHash、尺寸、EXIF时间和GPS。</t>
        </is>
      </c>
      <c r="J25" s="14" t="inlineStr">
        <is>
          <t>与合同门店逐店绑定；共21张照片支持16家通过、4家补证。</t>
        </is>
      </c>
      <c r="L25" s="14" t="inlineStr">
        <is>
          <t>绑定合同原始门店序号，逐店比较期间、地点、陈列和重复情况。</t>
        </is>
      </c>
      <c r="M25" s="14" t="inlineStr">
        <is>
          <t>872,772字节
1d4f8b92c71131ea2dbe09e06cff7496a82afca0ba4d7fced7ab272948670884</t>
        </is>
      </c>
    </row>
    <row r="26" outlineLevel="1" ht="78" customHeight="1">
      <c r="A26" s="14" t="n">
        <v>6</v>
      </c>
      <c r="B26" s="14" t="inlineStr">
        <is>
          <t>SQ202603300076-HX202606040013-核销资料-诚成26年4月【堆头20家】.zip</t>
        </is>
      </c>
      <c r="D26" s="14" t="inlineStr">
        <is>
          <t>核销资料-诚成26年4月【堆头20家】/堆头照片/11.人人购物荟和超市.jpg</t>
        </is>
      </c>
      <c r="G26" s="14" t="inlineStr">
        <is>
          <t>现场陈列照片</t>
        </is>
      </c>
      <c r="H26" s="14" t="inlineStr">
        <is>
          <t>按原始分辨率读取画面日期、地点/门店水印、陈列范围和清晰度；同时记录SHA-256、pHash、dHash、尺寸、EXIF时间和GPS。</t>
        </is>
      </c>
      <c r="J26" s="14" t="inlineStr">
        <is>
          <t>与合同门店逐店绑定；共21张照片支持16家通过、4家补证。</t>
        </is>
      </c>
      <c r="L26" s="14" t="inlineStr">
        <is>
          <t>绑定合同原始门店序号，逐店比较期间、地点、陈列和重复情况。</t>
        </is>
      </c>
      <c r="M26" s="14" t="inlineStr">
        <is>
          <t>3,431,541字节
7cf34a44ba05a348179771b0c36be20c19f6a0a76fb0c72fc6742c1070011f87</t>
        </is>
      </c>
    </row>
    <row r="27" outlineLevel="1" ht="78" customHeight="1">
      <c r="A27" s="14" t="n">
        <v>7</v>
      </c>
      <c r="B27" s="14" t="inlineStr">
        <is>
          <t>SQ202603300076-HX202606040013-核销资料-诚成26年4月【堆头20家】.zip</t>
        </is>
      </c>
      <c r="D27" s="14" t="inlineStr">
        <is>
          <t>核销资料-诚成26年4月【堆头20家】/堆头照片/12.三乐购物广场(森扬商业广场店).jpg</t>
        </is>
      </c>
      <c r="G27" s="14" t="inlineStr">
        <is>
          <t>现场陈列照片</t>
        </is>
      </c>
      <c r="H27" s="14" t="inlineStr">
        <is>
          <t>按原始分辨率读取画面日期、地点/门店水印、陈列范围和清晰度；同时记录SHA-256、pHash、dHash、尺寸、EXIF时间和GPS。</t>
        </is>
      </c>
      <c r="J27" s="14" t="inlineStr">
        <is>
          <t>与合同门店逐店绑定；共21张照片支持16家通过、4家补证。</t>
        </is>
      </c>
      <c r="L27" s="14" t="inlineStr">
        <is>
          <t>绑定合同原始门店序号，逐店比较期间、地点、陈列和重复情况。</t>
        </is>
      </c>
      <c r="M27" s="14" t="inlineStr">
        <is>
          <t>2,609,173字节
817e1b01120475a5f72ab39bce2334a3f0c5d2d7c66d02b0d02e648e70bca0e9</t>
        </is>
      </c>
    </row>
    <row r="28" outlineLevel="1" ht="78" customHeight="1">
      <c r="A28" s="14" t="n">
        <v>8</v>
      </c>
      <c r="B28" s="14" t="inlineStr">
        <is>
          <t>SQ202603300076-HX202606040013-核销资料-诚成26年4月【堆头20家】.zip</t>
        </is>
      </c>
      <c r="D28" s="14" t="inlineStr">
        <is>
          <t>核销资料-诚成26年4月【堆头20家】/堆头照片/13.沙井九龙.jpg</t>
        </is>
      </c>
      <c r="G28" s="14" t="inlineStr">
        <is>
          <t>现场陈列照片</t>
        </is>
      </c>
      <c r="H28" s="14" t="inlineStr">
        <is>
          <t>按原始分辨率读取画面日期、地点/门店水印、陈列范围和清晰度；同时记录SHA-256、pHash、dHash、尺寸、EXIF时间和GPS。</t>
        </is>
      </c>
      <c r="J28" s="14" t="inlineStr">
        <is>
          <t>与合同门店逐店绑定；共21张照片支持16家通过、4家补证。</t>
        </is>
      </c>
      <c r="L28" s="14" t="inlineStr">
        <is>
          <t>绑定合同原始门店序号，逐店比较期间、地点、陈列和重复情况。</t>
        </is>
      </c>
      <c r="M28" s="14" t="inlineStr">
        <is>
          <t>2,762,473字节
bea6157436ef7f0a45babca793b9fc67e06ac2beacd1b9eae36c44097b0e3888</t>
        </is>
      </c>
    </row>
    <row r="29" outlineLevel="1" ht="78" customHeight="1">
      <c r="A29" s="14" t="n">
        <v>9</v>
      </c>
      <c r="B29" s="14" t="inlineStr">
        <is>
          <t>SQ202603300076-HX202606040013-核销资料-诚成26年4月【堆头20家】.zip</t>
        </is>
      </c>
      <c r="D29" s="14" t="inlineStr">
        <is>
          <t>核销资料-诚成26年4月【堆头20家】/堆头照片/14.润家连锁超市(美联购物中心店).jpg</t>
        </is>
      </c>
      <c r="G29" s="14" t="inlineStr">
        <is>
          <t>现场陈列照片</t>
        </is>
      </c>
      <c r="H29" s="14" t="inlineStr">
        <is>
          <t>按原始分辨率读取画面日期、地点/门店水印、陈列范围和清晰度；同时记录SHA-256、pHash、dHash、尺寸、EXIF时间和GPS。</t>
        </is>
      </c>
      <c r="J29" s="14" t="inlineStr">
        <is>
          <t>与合同门店逐店绑定；共21张照片支持16家通过、4家补证。</t>
        </is>
      </c>
      <c r="L29" s="14" t="inlineStr">
        <is>
          <t>绑定合同原始门店序号，逐店比较期间、地点、陈列和重复情况。</t>
        </is>
      </c>
      <c r="M29" s="14" t="inlineStr">
        <is>
          <t>501,429字节
0589b66788746499b68c9813b97ef042c2d1a239cd70be63056d57f4a9587fe5</t>
        </is>
      </c>
    </row>
    <row r="30" outlineLevel="1" ht="78" customHeight="1">
      <c r="A30" s="14" t="n">
        <v>10</v>
      </c>
      <c r="B30" s="14" t="inlineStr">
        <is>
          <t>SQ202603300076-HX202606040013-核销资料-诚成26年4月【堆头20家】.zip</t>
        </is>
      </c>
      <c r="D30" s="14" t="inlineStr">
        <is>
          <t>核销资料-诚成26年4月【堆头20家】/堆头照片/15。石岩百佳华.jpg</t>
        </is>
      </c>
      <c r="G30" s="14" t="inlineStr">
        <is>
          <t>现场陈列照片</t>
        </is>
      </c>
      <c r="H30" s="14" t="inlineStr">
        <is>
          <t>按原始分辨率读取画面日期、地点/门店水印、陈列范围和清晰度；同时记录SHA-256、pHash、dHash、尺寸、EXIF时间和GPS。</t>
        </is>
      </c>
      <c r="J30" s="14" t="inlineStr">
        <is>
          <t>与合同门店逐店绑定；共21张照片支持16家通过、4家补证。</t>
        </is>
      </c>
      <c r="L30" s="14" t="inlineStr">
        <is>
          <t>绑定合同原始门店序号，逐店比较期间、地点、陈列和重复情况。</t>
        </is>
      </c>
      <c r="M30" s="14" t="inlineStr">
        <is>
          <t>501,947字节
9845f5c8c808e139ae93bf4a163372cf5e54e7aeb39a8dfbfa1d0aa47e5dfca8</t>
        </is>
      </c>
    </row>
    <row r="31" outlineLevel="1" ht="78" customHeight="1">
      <c r="A31" s="14" t="n">
        <v>11</v>
      </c>
      <c r="B31" s="14" t="inlineStr">
        <is>
          <t>SQ202603300076-HX202606040013-核销资料-诚成26年4月【堆头20家】.zip</t>
        </is>
      </c>
      <c r="D31" s="14" t="inlineStr">
        <is>
          <t>核销资料-诚成26年4月【堆头20家】/堆头照片/16.田心金正和.jpg</t>
        </is>
      </c>
      <c r="G31" s="14" t="inlineStr">
        <is>
          <t>现场陈列照片</t>
        </is>
      </c>
      <c r="H31" s="14" t="inlineStr">
        <is>
          <t>按原始分辨率读取画面日期、地点/门店水印、陈列范围和清晰度；同时记录SHA-256、pHash、dHash、尺寸、EXIF时间和GPS。</t>
        </is>
      </c>
      <c r="J31" s="14" t="inlineStr">
        <is>
          <t>与合同门店逐店绑定；共21张照片支持16家通过、4家补证。</t>
        </is>
      </c>
      <c r="L31" s="14" t="inlineStr">
        <is>
          <t>绑定合同原始门店序号，逐店比较期间、地点、陈列和重复情况。</t>
        </is>
      </c>
      <c r="M31" s="14" t="inlineStr">
        <is>
          <t>762,202字节
f00f97dc46a52568db5b292f7edb26bedfbc0d6f786e746acea6a56940a7c500</t>
        </is>
      </c>
    </row>
    <row r="32" outlineLevel="1" ht="78" customHeight="1">
      <c r="A32" s="14" t="n">
        <v>12</v>
      </c>
      <c r="B32" s="14" t="inlineStr">
        <is>
          <t>SQ202603300076-HX202606040013-核销资料-诚成26年4月【堆头20家】.zip</t>
        </is>
      </c>
      <c r="D32" s="14" t="inlineStr">
        <is>
          <t>核销资料-诚成26年4月【堆头20家】/堆头照片/17·荟和超市(莹展荟店).jpg</t>
        </is>
      </c>
      <c r="G32" s="14" t="inlineStr">
        <is>
          <t>现场陈列照片</t>
        </is>
      </c>
      <c r="H32" s="14" t="inlineStr">
        <is>
          <t>按原始分辨率读取画面日期、地点/门店水印、陈列范围和清晰度；同时记录SHA-256、pHash、dHash、尺寸、EXIF时间和GPS。</t>
        </is>
      </c>
      <c r="J32" s="14" t="inlineStr">
        <is>
          <t>与合同门店逐店绑定；共21张照片支持16家通过、4家补证。</t>
        </is>
      </c>
      <c r="L32" s="14" t="inlineStr">
        <is>
          <t>绑定合同原始门店序号，逐店比较期间、地点、陈列和重复情况。</t>
        </is>
      </c>
      <c r="M32" s="14" t="inlineStr">
        <is>
          <t>420,260字节
c6a9ac8b3b620adf996334ec432e725c45b4e302c481354caa4959a97c6f1ef1</t>
        </is>
      </c>
    </row>
    <row r="33" outlineLevel="1" ht="78" customHeight="1">
      <c r="A33" s="14" t="n">
        <v>13</v>
      </c>
      <c r="B33" s="14" t="inlineStr">
        <is>
          <t>SQ202603300076-HX202606040013-核销资料-诚成26年4月【堆头20家】.zip</t>
        </is>
      </c>
      <c r="D33" s="14" t="inlineStr">
        <is>
          <t>核销资料-诚成26年4月【堆头20家】/堆头照片/18.三乐购物广场(坦洲店).jpg</t>
        </is>
      </c>
      <c r="G33" s="14" t="inlineStr">
        <is>
          <t>现场陈列照片</t>
        </is>
      </c>
      <c r="H33" s="14" t="inlineStr">
        <is>
          <t>按原始分辨率读取画面日期、地点/门店水印、陈列范围和清晰度；同时记录SHA-256、pHash、dHash、尺寸、EXIF时间和GPS。</t>
        </is>
      </c>
      <c r="J33" s="14" t="inlineStr">
        <is>
          <t>与合同门店逐店绑定；共21张照片支持16家通过、4家补证。</t>
        </is>
      </c>
      <c r="L33" s="14" t="inlineStr">
        <is>
          <t>绑定合同原始门店序号，逐店比较期间、地点、陈列和重复情况。</t>
        </is>
      </c>
      <c r="M33" s="14" t="inlineStr">
        <is>
          <t>511,770字节
61f0c8113bfbfafd9cc02a2ae69881cb8cc456e911c32c78ba618ab3467153fe</t>
        </is>
      </c>
    </row>
    <row r="34" outlineLevel="1" ht="78" customHeight="1">
      <c r="A34" s="14" t="n">
        <v>14</v>
      </c>
      <c r="B34" s="14" t="inlineStr">
        <is>
          <t>SQ202603300076-HX202606040013-核销资料-诚成26年4月【堆头20家】.zip</t>
        </is>
      </c>
      <c r="D34" s="14" t="inlineStr">
        <is>
          <t>核销资料-诚成26年4月【堆头20家】/堆头照片/19.福源大康惠.jpg</t>
        </is>
      </c>
      <c r="G34" s="14" t="inlineStr">
        <is>
          <t>现场陈列照片</t>
        </is>
      </c>
      <c r="H34" s="14" t="inlineStr">
        <is>
          <t>按原始分辨率读取画面日期、地点/门店水印、陈列范围和清晰度；同时记录SHA-256、pHash、dHash、尺寸、EXIF时间和GPS。</t>
        </is>
      </c>
      <c r="J34" s="14" t="inlineStr">
        <is>
          <t>与合同门店逐店绑定；共21张照片支持16家通过、4家补证。</t>
        </is>
      </c>
      <c r="L34" s="14" t="inlineStr">
        <is>
          <t>绑定合同原始门店序号，逐店比较期间、地点、陈列和重复情况。</t>
        </is>
      </c>
      <c r="M34" s="14" t="inlineStr">
        <is>
          <t>760,801字节
a83b7852588f47ff9fc8c43791eab025aa930eb7efa97d4da13cd54024be754c</t>
        </is>
      </c>
    </row>
    <row r="35" outlineLevel="1" ht="78" customHeight="1">
      <c r="A35" s="14" t="n">
        <v>15</v>
      </c>
      <c r="B35" s="14" t="inlineStr">
        <is>
          <t>SQ202603300076-HX202606040013-核销资料-诚成26年4月【堆头20家】.zip</t>
        </is>
      </c>
      <c r="D35" s="14" t="inlineStr">
        <is>
          <t>核销资料-诚成26年4月【堆头20家】/堆头照片/2.松岗百佳华.jpg</t>
        </is>
      </c>
      <c r="G35" s="14" t="inlineStr">
        <is>
          <t>现场陈列照片</t>
        </is>
      </c>
      <c r="H35" s="14" t="inlineStr">
        <is>
          <t>按原始分辨率读取画面日期、地点/门店水印、陈列范围和清晰度；同时记录SHA-256、pHash、dHash、尺寸、EXIF时间和GPS。</t>
        </is>
      </c>
      <c r="J35" s="14" t="inlineStr">
        <is>
          <t>与合同门店逐店绑定；共21张照片支持16家通过、4家补证。</t>
        </is>
      </c>
      <c r="L35" s="14" t="inlineStr">
        <is>
          <t>绑定合同原始门店序号，逐店比较期间、地点、陈列和重复情况。</t>
        </is>
      </c>
      <c r="M35" s="14" t="inlineStr">
        <is>
          <t>2,775,745字节
12b86e89b2996c4ee22ce55cfa65249237f10c2651963f0a74d6748f6fbdf29f</t>
        </is>
      </c>
    </row>
    <row r="36" outlineLevel="1" ht="78" customHeight="1">
      <c r="A36" s="14" t="n">
        <v>16</v>
      </c>
      <c r="B36" s="14" t="inlineStr">
        <is>
          <t>SQ202603300076-HX202606040013-核销资料-诚成26年4月【堆头20家】.zip</t>
        </is>
      </c>
      <c r="D36" s="14" t="inlineStr">
        <is>
          <t>核销资料-诚成26年4月【堆头20家】/堆头照片/20.好多宝精选超市(龙眼市场店).jpg</t>
        </is>
      </c>
      <c r="G36" s="14" t="inlineStr">
        <is>
          <t>现场陈列照片</t>
        </is>
      </c>
      <c r="H36" s="14" t="inlineStr">
        <is>
          <t>按原始分辨率读取画面日期、地点/门店水印、陈列范围和清晰度；同时记录SHA-256、pHash、dHash、尺寸、EXIF时间和GPS。</t>
        </is>
      </c>
      <c r="J36" s="14" t="inlineStr">
        <is>
          <t>与合同门店逐店绑定；共21张照片支持16家通过、4家补证。</t>
        </is>
      </c>
      <c r="L36" s="14" t="inlineStr">
        <is>
          <t>绑定合同原始门店序号，逐店比较期间、地点、陈列和重复情况。</t>
        </is>
      </c>
      <c r="M36" s="14" t="inlineStr">
        <is>
          <t>380,438字节
a2bc6e9f7833a6b2dace149843649c6c2a6b5988e04def5a9bc64d4b2b8740fc</t>
        </is>
      </c>
    </row>
    <row r="37" outlineLevel="1" ht="78" customHeight="1">
      <c r="A37" s="14" t="n">
        <v>17</v>
      </c>
      <c r="B37" s="14" t="inlineStr">
        <is>
          <t>SQ202603300076-HX202606040013-核销资料-诚成26年4月【堆头20家】.zip</t>
        </is>
      </c>
      <c r="D37" s="14" t="inlineStr">
        <is>
          <t>核销资料-诚成26年4月【堆头20家】/堆头照片/3.公明百佳华.jpg</t>
        </is>
      </c>
      <c r="G37" s="14" t="inlineStr">
        <is>
          <t>现场陈列照片</t>
        </is>
      </c>
      <c r="H37" s="14" t="inlineStr">
        <is>
          <t>按原始分辨率读取画面日期、地点/门店水印、陈列范围和清晰度；同时记录SHA-256、pHash、dHash、尺寸、EXIF时间和GPS。</t>
        </is>
      </c>
      <c r="J37" s="14" t="inlineStr">
        <is>
          <t>与合同门店逐店绑定；共21张照片支持16家通过、4家补证。</t>
        </is>
      </c>
      <c r="L37" s="14" t="inlineStr">
        <is>
          <t>绑定合同原始门店序号，逐店比较期间、地点、陈列和重复情况。</t>
        </is>
      </c>
      <c r="M37" s="14" t="inlineStr">
        <is>
          <t>676,711字节
334f7fe95b8f70a59cf89c0e2b65a47ba1a19c70d8b1695a51ecd59bdce07463</t>
        </is>
      </c>
    </row>
    <row r="38" outlineLevel="1" ht="78" customHeight="1">
      <c r="A38" s="14" t="n">
        <v>18</v>
      </c>
      <c r="B38" s="14" t="inlineStr">
        <is>
          <t>SQ202603300076-HX202606040013-核销资料-诚成26年4月【堆头20家】.zip</t>
        </is>
      </c>
      <c r="D38" s="14" t="inlineStr">
        <is>
          <t>核销资料-诚成26年4月【堆头20家】/堆头照片/4.新桥百佳华.jpg</t>
        </is>
      </c>
      <c r="G38" s="14" t="inlineStr">
        <is>
          <t>现场陈列照片</t>
        </is>
      </c>
      <c r="H38" s="14" t="inlineStr">
        <is>
          <t>按原始分辨率读取画面日期、地点/门店水印、陈列范围和清晰度；同时记录SHA-256、pHash、dHash、尺寸、EXIF时间和GPS。</t>
        </is>
      </c>
      <c r="J38" s="14" t="inlineStr">
        <is>
          <t>与合同门店逐店绑定；共21张照片支持16家通过、4家补证。</t>
        </is>
      </c>
      <c r="L38" s="14" t="inlineStr">
        <is>
          <t>绑定合同原始门店序号，逐店比较期间、地点、陈列和重复情况。</t>
        </is>
      </c>
      <c r="M38" s="14" t="inlineStr">
        <is>
          <t>123,308字节
df7c36d02303fc3b8df13e63888d0dcfed56860ca91d2a86501f67168d32c3ff</t>
        </is>
      </c>
    </row>
    <row r="39" outlineLevel="1" ht="78" customHeight="1">
      <c r="A39" s="14" t="n">
        <v>19</v>
      </c>
      <c r="B39" s="14" t="inlineStr">
        <is>
          <t>SQ202603300076-HX202606040013-核销资料-诚成26年4月【堆头20家】.zip</t>
        </is>
      </c>
      <c r="D39" s="14" t="inlineStr">
        <is>
          <t>核销资料-诚成26年4月【堆头20家】/堆头照片/5.华都超市(东坑大道北店).jpg</t>
        </is>
      </c>
      <c r="G39" s="14" t="inlineStr">
        <is>
          <t>现场陈列照片</t>
        </is>
      </c>
      <c r="H39" s="14" t="inlineStr">
        <is>
          <t>按原始分辨率读取画面日期、地点/门店水印、陈列范围和清晰度；同时记录SHA-256、pHash、dHash、尺寸、EXIF时间和GPS。</t>
        </is>
      </c>
      <c r="J39" s="14" t="inlineStr">
        <is>
          <t>与合同门店逐店绑定；共21张照片支持16家通过、4家补证。</t>
        </is>
      </c>
      <c r="L39" s="14" t="inlineStr">
        <is>
          <t>绑定合同原始门店序号，逐店比较期间、地点、陈列和重复情况。</t>
        </is>
      </c>
      <c r="M39" s="14" t="inlineStr">
        <is>
          <t>439,863字节
61e7f18669fe68e0686638d9bf53e6e488e8ce9ccb78192cdb6647915337dad0</t>
        </is>
      </c>
    </row>
    <row r="40" outlineLevel="1" ht="78" customHeight="1">
      <c r="A40" s="14" t="n">
        <v>20</v>
      </c>
      <c r="B40" s="14" t="inlineStr">
        <is>
          <t>SQ202603300076-HX202606040013-核销资料-诚成26年4月【堆头20家】.zip</t>
        </is>
      </c>
      <c r="D40" s="14" t="inlineStr">
        <is>
          <t>核销资料-诚成26年4月【堆头20家】/堆头照片/6.东浦金正和.jpg</t>
        </is>
      </c>
      <c r="G40" s="14" t="inlineStr">
        <is>
          <t>现场陈列照片</t>
        </is>
      </c>
      <c r="H40" s="14" t="inlineStr">
        <is>
          <t>按原始分辨率读取画面日期、地点/门店水印、陈列范围和清晰度；同时记录SHA-256、pHash、dHash、尺寸、EXIF时间和GPS。</t>
        </is>
      </c>
      <c r="J40" s="14" t="inlineStr">
        <is>
          <t>与合同门店逐店绑定；共21张照片支持16家通过、4家补证。</t>
        </is>
      </c>
      <c r="L40" s="14" t="inlineStr">
        <is>
          <t>绑定合同原始门店序号，逐店比较期间、地点、陈列和重复情况。</t>
        </is>
      </c>
      <c r="M40" s="14" t="inlineStr">
        <is>
          <t>1,084,548字节
5443f87d47fe6646e5da357f0e53a41c8934f58255619fe749eae9b7ad9596a0</t>
        </is>
      </c>
    </row>
    <row r="41" outlineLevel="1" ht="78" customHeight="1">
      <c r="A41" s="14" t="n">
        <v>21</v>
      </c>
      <c r="B41" s="14" t="inlineStr">
        <is>
          <t>SQ202603300076-HX202606040013-核销资料-诚成26年4月【堆头20家】.zip</t>
        </is>
      </c>
      <c r="D41" s="14" t="inlineStr">
        <is>
          <t>核销资料-诚成26年4月【堆头20家】/堆头照片/7.宝安优城店.jpg</t>
        </is>
      </c>
      <c r="G41" s="14" t="inlineStr">
        <is>
          <t>现场陈列照片</t>
        </is>
      </c>
      <c r="H41" s="14" t="inlineStr">
        <is>
          <t>按原始分辨率读取画面日期、地点/门店水印、陈列范围和清晰度；同时记录SHA-256、pHash、dHash、尺寸、EXIF时间和GPS。</t>
        </is>
      </c>
      <c r="J41" s="14" t="inlineStr">
        <is>
          <t>与合同门店逐店绑定；共21张照片支持16家通过、4家补证。</t>
        </is>
      </c>
      <c r="L41" s="14" t="inlineStr">
        <is>
          <t>绑定合同原始门店序号，逐店比较期间、地点、陈列和重复情况。</t>
        </is>
      </c>
      <c r="M41" s="14" t="inlineStr">
        <is>
          <t>434,133字节
80ff9c92a5eb1b780e9b0002a5d99c5239d71f592406992133c1e49e77e5834f</t>
        </is>
      </c>
    </row>
    <row r="42" outlineLevel="1" ht="78" customHeight="1">
      <c r="A42" s="14" t="n">
        <v>22</v>
      </c>
      <c r="B42" s="14" t="inlineStr">
        <is>
          <t>SQ202603300076-HX202606040013-核销资料-诚成26年4月【堆头20家】.zip</t>
        </is>
      </c>
      <c r="D42" s="14" t="inlineStr">
        <is>
          <t>核销资料-诚成26年4月【堆头20家】/堆头照片/8.虎门赤岗家家欣.jpg</t>
        </is>
      </c>
      <c r="G42" s="14" t="inlineStr">
        <is>
          <t>现场陈列照片</t>
        </is>
      </c>
      <c r="H42" s="14" t="inlineStr">
        <is>
          <t>按原始分辨率读取画面日期、地点/门店水印、陈列范围和清晰度；同时记录SHA-256、pHash、dHash、尺寸、EXIF时间和GPS。</t>
        </is>
      </c>
      <c r="J42" s="14" t="inlineStr">
        <is>
          <t>与合同门店逐店绑定；共21张照片支持16家通过、4家补证。</t>
        </is>
      </c>
      <c r="L42" s="14" t="inlineStr">
        <is>
          <t>绑定合同原始门店序号，逐店比较期间、地点、陈列和重复情况。</t>
        </is>
      </c>
      <c r="M42" s="14" t="inlineStr">
        <is>
          <t>129,411字节
a397af48c29cc108f54a66ac21d7aec414e79f20838ee3bb2e4851619d1f9e0a</t>
        </is>
      </c>
    </row>
    <row r="43" outlineLevel="1" ht="78" customHeight="1">
      <c r="A43" s="14" t="n">
        <v>23</v>
      </c>
      <c r="B43" s="14" t="inlineStr">
        <is>
          <t>SQ202603300076-HX202606040013-核销资料-诚成26年4月【堆头20家】.zip</t>
        </is>
      </c>
      <c r="D43" s="14" t="inlineStr">
        <is>
          <t>核销资料-诚成26年4月【堆头20家】/堆头照片/9.花都宜多.jpg</t>
        </is>
      </c>
      <c r="G43" s="14" t="inlineStr">
        <is>
          <t>现场陈列照片</t>
        </is>
      </c>
      <c r="H43" s="14" t="inlineStr">
        <is>
          <t>按原始分辨率读取画面日期、地点/门店水印、陈列范围和清晰度；同时记录SHA-256、pHash、dHash、尺寸、EXIF时间和GPS。</t>
        </is>
      </c>
      <c r="J43" s="14" t="inlineStr">
        <is>
          <t>与合同门店逐店绑定；共21张照片支持16家通过、4家补证。</t>
        </is>
      </c>
      <c r="L43" s="14" t="inlineStr">
        <is>
          <t>绑定合同原始门店序号，逐店比较期间、地点、陈列和重复情况。</t>
        </is>
      </c>
      <c r="M43" s="14" t="inlineStr">
        <is>
          <t>830,839字节
37a3bb4647855bff6147f370f02897142fb739c3b1f015546c9701327ca79c87</t>
        </is>
      </c>
    </row>
    <row r="44" outlineLevel="1" ht="78" customHeight="1">
      <c r="A44" s="14" t="n">
        <v>24</v>
      </c>
      <c r="B44" s="14" t="inlineStr">
        <is>
          <t>SQ202603300076-HX202606040013-核销资料-诚成26年4月【堆头20家】.zip</t>
        </is>
      </c>
      <c r="D44" s="14" t="inlineStr">
        <is>
          <t>核销资料-诚成26年4月【堆头20家】/诚成4月堆头陈列-经销商签订促销合同.pdf</t>
        </is>
      </c>
      <c r="G44" s="14" t="inlineStr">
        <is>
          <t>促销合同</t>
        </is>
      </c>
      <c r="H44" s="14" t="inlineStr">
        <is>
          <t>逐页读取客户、活动起止日、陈列标准、单店费用、申报金额、盖章及完整编号门店清单。</t>
        </is>
      </c>
      <c r="J44" s="14" t="inlineStr">
        <is>
          <t>合同4页、20家门店、单店1000元；作为逐店照片核验基准。</t>
        </is>
      </c>
      <c r="L44" s="14" t="inlineStr">
        <is>
          <t>与销售Excel比较客户/期间；与照片逐店比较日期、地点和陈列；与申报比较金额。</t>
        </is>
      </c>
      <c r="M44" s="14" t="inlineStr">
        <is>
          <t>22,154,008字节
15ac05c881cda510b1d24743a2ae7ef7e19e5e78946b4407e6e57200cbb6a75a</t>
        </is>
      </c>
    </row>
    <row r="46" ht="24" customHeight="1">
      <c r="A46" s="11" t="inlineStr">
        <is>
          <t>二、合同、销售Excel与申报基础对比</t>
        </is>
      </c>
    </row>
    <row r="47" ht="42" customHeight="1">
      <c r="A47" s="12" t="inlineStr">
        <is>
          <t>销售Excel只验证客户、活动期间和总体销售；因为没有门店字段，不能直接支持任何单店1000元。</t>
        </is>
      </c>
    </row>
    <row r="48" ht="30" customHeight="1">
      <c r="A48" s="13" t="inlineStr">
        <is>
          <t>检查项</t>
        </is>
      </c>
      <c r="B48" s="13" t="inlineStr">
        <is>
          <t>合同PDF读取值</t>
        </is>
      </c>
      <c r="D48" s="13" t="inlineStr">
        <is>
          <t>销售Excel/申报读取值</t>
        </is>
      </c>
      <c r="F48" s="13" t="inlineStr">
        <is>
          <t>对比规则</t>
        </is>
      </c>
      <c r="H48" s="13" t="inlineStr">
        <is>
          <t>差异/覆盖</t>
        </is>
      </c>
      <c r="J48" s="13" t="inlineStr">
        <is>
          <t>结果</t>
        </is>
      </c>
      <c r="K48" s="13" t="inlineStr">
        <is>
          <t>限制</t>
        </is>
      </c>
    </row>
    <row r="49" ht="54" customHeight="1">
      <c r="A49" s="14" t="inlineStr">
        <is>
          <t>客户</t>
        </is>
      </c>
      <c r="B49" s="17" t="inlineStr">
        <is>
          <t>东莞市诚成行供应链管理有限公司</t>
        </is>
      </c>
      <c r="D49" s="17" t="inlineStr">
        <is>
          <t>东莞市诚成行供应链管理有限公司</t>
        </is>
      </c>
      <c r="F49" s="14" t="inlineStr">
        <is>
          <t>名称一致性</t>
        </is>
      </c>
      <c r="H49" s="17" t="inlineStr">
        <is>
          <t>一致</t>
        </is>
      </c>
      <c r="J49" s="24" t="inlineStr">
        <is>
          <t>匹配</t>
        </is>
      </c>
      <c r="K49" s="14" t="inlineStr">
        <is>
          <t>仅证明经销商层级销售</t>
        </is>
      </c>
    </row>
    <row r="50" ht="54" customHeight="1">
      <c r="A50" s="14" t="inlineStr">
        <is>
          <t>活动期间</t>
        </is>
      </c>
      <c r="B50" s="17" t="inlineStr">
        <is>
          <t>2026-04-01 至 2026-04-30</t>
        </is>
      </c>
      <c r="D50" s="17" t="inlineStr">
        <is>
          <t>2026-04-01 至 2026-04-30</t>
        </is>
      </c>
      <c r="F50" s="14" t="inlineStr">
        <is>
          <t>销售期间应在合同活动期内</t>
        </is>
      </c>
      <c r="H50" s="17" t="inlineStr">
        <is>
          <t>完整覆盖4月</t>
        </is>
      </c>
      <c r="J50" s="24" t="inlineStr">
        <is>
          <t>匹配</t>
        </is>
      </c>
      <c r="K50" s="14" t="inlineStr">
        <is>
          <t>不代表逐店均在期间内完成陈列</t>
        </is>
      </c>
    </row>
    <row r="51" ht="54" customHeight="1">
      <c r="A51" s="14" t="inlineStr">
        <is>
          <t>数据粒度</t>
        </is>
      </c>
      <c r="B51" s="17" t="inlineStr">
        <is>
          <t>合同门店20家</t>
        </is>
      </c>
      <c r="D51" s="17" t="inlineStr">
        <is>
          <t>销售Excel无门店字段</t>
        </is>
      </c>
      <c r="F51" s="14" t="inlineStr">
        <is>
          <t>门店级执行需要门店级证据</t>
        </is>
      </c>
      <c r="H51" s="17" t="inlineStr">
        <is>
          <t>0家可由销售Excel单独证明</t>
        </is>
      </c>
      <c r="J51" s="19" t="inlineStr">
        <is>
          <t>证据不足</t>
        </is>
      </c>
      <c r="K51" s="14" t="inlineStr">
        <is>
          <t>逐店必须回到照片核验</t>
        </is>
      </c>
    </row>
    <row r="52" ht="54" customHeight="1">
      <c r="A52" s="14" t="inlineStr">
        <is>
          <t>陈列规则</t>
        </is>
      </c>
      <c r="B52" s="17" t="inlineStr">
        <is>
          <t>1平方米堆头或4纵陈列</t>
        </is>
      </c>
      <c r="D52" s="17" t="inlineStr">
        <is>
          <t>现场照片21张</t>
        </is>
      </c>
      <c r="F52" s="14" t="inlineStr">
        <is>
          <t>逐店判断1平方米堆头或至少4纵陈列</t>
        </is>
      </c>
      <c r="H52" s="17" t="inlineStr">
        <is>
          <t>16家综合通过</t>
        </is>
      </c>
      <c r="J52" s="19" t="inlineStr">
        <is>
          <t>部分通过</t>
        </is>
      </c>
      <c r="K52" s="14" t="inlineStr">
        <is>
          <t>照片未提供尺量数据</t>
        </is>
      </c>
    </row>
    <row r="53" ht="54" customHeight="1">
      <c r="A53" s="14" t="inlineStr">
        <is>
          <t>费用金额</t>
        </is>
      </c>
      <c r="B53" s="17" t="n">
        <v>20000</v>
      </c>
      <c r="D53" s="17" t="n">
        <v>20000</v>
      </c>
      <c r="F53" s="14" t="inlineStr">
        <is>
          <t>合同门店数×单店费用 ↔ 申报</t>
        </is>
      </c>
      <c r="H53" s="18">
        <f>D53-B53</f>
        <v/>
      </c>
      <c r="J53" s="25">
        <f>IF(H53=0,"匹配","异常")</f>
        <v/>
      </c>
      <c r="K53" s="14" t="inlineStr">
        <is>
          <t>独立活动预算表未提交</t>
        </is>
      </c>
    </row>
    <row r="54" ht="54" customHeight="1">
      <c r="A54" s="14" t="inlineStr">
        <is>
          <t>总体销售</t>
        </is>
      </c>
      <c r="B54" s="17" t="inlineStr">
        <is>
          <t>合同无SKU销售目标</t>
        </is>
      </c>
      <c r="D54" s="17" t="n">
        <v>13744</v>
      </c>
      <c r="F54" s="14" t="inlineStr">
        <is>
          <t>作为活动期总体销售背景</t>
        </is>
      </c>
      <c r="H54" s="17" t="n">
        <v>352032</v>
      </c>
      <c r="J54" s="14" t="inlineStr">
        <is>
          <t>总体支持</t>
        </is>
      </c>
      <c r="K54" s="14" t="inlineStr">
        <is>
          <t>不能分摊给20家门店</t>
        </is>
      </c>
    </row>
    <row r="56" ht="24" customHeight="1">
      <c r="A56" s="11" t="inlineStr">
        <is>
          <t>三、合同20家门店与21张照片逐店比对</t>
        </is>
      </c>
    </row>
    <row r="57" ht="42" customHeight="1">
      <c r="A57" s="12" t="inlineStr">
        <is>
          <t>五项控制：有照片、日期在活动期、可见地点与合同门店一致、达到陈列标准、未发现重复；全部通过才支持单店费用。</t>
        </is>
      </c>
    </row>
    <row r="58" ht="30" customHeight="1">
      <c r="A58" s="13" t="inlineStr">
        <is>
          <t>合同序号</t>
        </is>
      </c>
      <c r="B58" s="13" t="inlineStr">
        <is>
          <t>合同门店</t>
        </is>
      </c>
      <c r="C58" s="13" t="inlineStr">
        <is>
          <t>照片文件</t>
        </is>
      </c>
      <c r="D58" s="13" t="inlineStr">
        <is>
          <t>可见日期</t>
        </is>
      </c>
      <c r="E58" s="13" t="inlineStr">
        <is>
          <t>可见地点/水印</t>
        </is>
      </c>
      <c r="F58" s="13" t="inlineStr">
        <is>
          <t>期间</t>
        </is>
      </c>
      <c r="G58" s="13" t="inlineStr">
        <is>
          <t>门店匹配</t>
        </is>
      </c>
      <c r="H58" s="13" t="inlineStr">
        <is>
          <t>陈列标准</t>
        </is>
      </c>
      <c r="I58" s="13" t="inlineStr">
        <is>
          <t>重复检查</t>
        </is>
      </c>
      <c r="J58" s="13" t="inlineStr">
        <is>
          <t>结论</t>
        </is>
      </c>
      <c r="K58" s="13" t="inlineStr">
        <is>
          <t>支持金额</t>
        </is>
      </c>
      <c r="L58" s="13" t="inlineStr">
        <is>
          <t>风险/判断依据</t>
        </is>
      </c>
      <c r="M58" s="13" t="inlineStr">
        <is>
          <t>补证建议</t>
        </is>
      </c>
    </row>
    <row r="59" ht="108" customHeight="1">
      <c r="A59" s="14" t="n">
        <v>1</v>
      </c>
      <c r="B59" s="14" t="inlineStr">
        <is>
          <t>66广场家家欣</t>
        </is>
      </c>
      <c r="C59" s="14" t="inlineStr">
        <is>
          <t>1.厚街汉邦66广场家家欣.jpg</t>
        </is>
      </c>
      <c r="D59" s="14" t="inlineStr">
        <is>
          <t>2026-04-30</t>
        </is>
      </c>
      <c r="E59" s="14" t="inlineStr">
        <is>
          <t>广东省东莞市厚街镇汉邦广场</t>
        </is>
      </c>
      <c r="F59" s="14" t="inlineStr">
        <is>
          <t>是</t>
        </is>
      </c>
      <c r="G59" s="14" t="inlineStr">
        <is>
          <t>基本匹配</t>
        </is>
      </c>
      <c r="H59" s="14" t="inlineStr">
        <is>
          <t>是</t>
        </is>
      </c>
      <c r="I59" s="14" t="inlineStr">
        <is>
          <t>未发现</t>
        </is>
      </c>
      <c r="J59" s="24" t="inlineStr">
        <is>
          <t>通过</t>
        </is>
      </c>
      <c r="K59" s="18">
        <f>IF(J59="通过",1000,0)</f>
        <v/>
      </c>
      <c r="L59" s="14" t="inlineStr">
        <is>
          <t>水印日期位于合同活动期内。；画面完整显示参半商品占据多层、多列的落地堆头，符合可见的多层/4纵陈列特征；未根据照片估算实际平方米数。；合同名称“66广场家家欣”与水印“汉邦广场”并非文字一致，且未提供权威地址映射。；照片无可读取EXIF/GPS；水印真实性及像素级伪造未验证。</t>
        </is>
      </c>
      <c r="M59" s="14" t="inlineStr">
        <is>
          <t>补充66广场家家欣与厚街镇汉邦广场的门店地址、门头照片或官方门店映射。</t>
        </is>
      </c>
    </row>
    <row r="60" ht="108" customHeight="1">
      <c r="A60" s="14" t="n">
        <v>2</v>
      </c>
      <c r="B60" s="14" t="inlineStr">
        <is>
          <t>百佳华松岗店</t>
        </is>
      </c>
      <c r="C60" s="14" t="inlineStr">
        <is>
          <t>2.松岗百佳华.jpg</t>
        </is>
      </c>
      <c r="D60" s="14" t="inlineStr">
        <is>
          <t>2026-04-30</t>
        </is>
      </c>
      <c r="E60" s="14" t="inlineStr">
        <is>
          <t>深圳市·百佳华超市(松岗百佳华商场店)</t>
        </is>
      </c>
      <c r="F60" s="14" t="inlineStr">
        <is>
          <t>是</t>
        </is>
      </c>
      <c r="G60" s="14" t="inlineStr">
        <is>
          <t>基本匹配</t>
        </is>
      </c>
      <c r="H60" s="14" t="inlineStr">
        <is>
          <t>是</t>
        </is>
      </c>
      <c r="I60" s="14" t="inlineStr">
        <is>
          <t>未发现</t>
        </is>
      </c>
      <c r="J60" s="24" t="inlineStr">
        <is>
          <t>通过</t>
        </is>
      </c>
      <c r="K60" s="18">
        <f>IF(J60="通过",1000,0)</f>
        <v/>
      </c>
      <c r="L60" s="14" t="inlineStr">
        <is>
          <t>水印日期位于合同活动期内。；画面显示大型多层、多列参半商品堆头，陈列标准可见。；合同简称与水印完整店名存在格式差异。；照片无可读取EXIF/GPS；水印真实性及像素级伪造未验证。</t>
        </is>
      </c>
      <c r="M60" s="14" t="inlineStr">
        <is>
          <t>如需消除简称差异，补充该门店官方名称或地址资料。</t>
        </is>
      </c>
    </row>
    <row r="61" ht="108" customHeight="1">
      <c r="A61" s="14" t="n">
        <v>3</v>
      </c>
      <c r="B61" s="14" t="inlineStr">
        <is>
          <t>百佳华百货（公明店）</t>
        </is>
      </c>
      <c r="C61" s="14" t="inlineStr">
        <is>
          <t>3.公明百佳华.jpg</t>
        </is>
      </c>
      <c r="D61" s="14" t="inlineStr">
        <is>
          <t>2026-04-30</t>
        </is>
      </c>
      <c r="E61" s="14" t="inlineStr">
        <is>
          <t>深圳市·百佳华佳漾汇(公明店)</t>
        </is>
      </c>
      <c r="F61" s="14" t="inlineStr">
        <is>
          <t>是</t>
        </is>
      </c>
      <c r="G61" s="14" t="inlineStr">
        <is>
          <t>基本匹配</t>
        </is>
      </c>
      <c r="H61" s="14" t="inlineStr">
        <is>
          <t>是</t>
        </is>
      </c>
      <c r="I61" s="14" t="inlineStr">
        <is>
          <t>未发现</t>
        </is>
      </c>
      <c r="J61" s="24" t="inlineStr">
        <is>
          <t>通过</t>
        </is>
      </c>
      <c r="K61" s="18">
        <f>IF(J61="通过",1000,0)</f>
        <v/>
      </c>
      <c r="L61" s="14" t="inlineStr">
        <is>
          <t>水印日期位于合同活动期内。；画面完整显示多层参半商品落地陈列，达到可见的4纵/多层陈列要求。；未提供“百佳华百货（公明店）”与“百佳华佳漾汇(公明店)”的更名或同店证明。；照片无可读取EXIF/GPS；水印真实性及像素级伪造未验证。</t>
        </is>
      </c>
      <c r="M61" s="14" t="inlineStr">
        <is>
          <t>补充公明店官方名称、地址或更名/同店证明。</t>
        </is>
      </c>
    </row>
    <row r="62" ht="108" customHeight="1">
      <c r="A62" s="14" t="n">
        <v>4</v>
      </c>
      <c r="B62" s="14" t="inlineStr">
        <is>
          <t>百佳华佳漾汇（新桥店）</t>
        </is>
      </c>
      <c r="C62" s="14" t="inlineStr">
        <is>
          <t>4.新桥百佳华.jpg</t>
        </is>
      </c>
      <c r="D62" s="14" t="inlineStr">
        <is>
          <t>2026-04-30</t>
        </is>
      </c>
      <c r="E62" s="14" t="inlineStr">
        <is>
          <t>深圳市宝安区新桥街道·百佳华佳漾汇(新桥店)</t>
        </is>
      </c>
      <c r="F62" s="14" t="inlineStr">
        <is>
          <t>是</t>
        </is>
      </c>
      <c r="G62" s="14" t="inlineStr">
        <is>
          <t>是</t>
        </is>
      </c>
      <c r="H62" s="14" t="inlineStr">
        <is>
          <t>是</t>
        </is>
      </c>
      <c r="I62" s="14" t="inlineStr">
        <is>
          <t>未发现</t>
        </is>
      </c>
      <c r="J62" s="24" t="inlineStr">
        <is>
          <t>通过</t>
        </is>
      </c>
      <c r="K62" s="18">
        <f>IF(J62="通过",1000,0)</f>
        <v/>
      </c>
      <c r="L62" s="14" t="inlineStr">
        <is>
          <t>水印日期位于合同活动期内。；画面显示多层、多列参半商品落地陈列。；图片分辨率为600×800，细节能力低于其余多数照片，但门店水印和陈列主体仍可辨认。；照片无可读取EXIF/GPS；水印真实性及像素级伪造未验证。</t>
        </is>
      </c>
      <c r="M62" s="14" t="inlineStr"/>
    </row>
    <row r="63" ht="108" customHeight="1">
      <c r="A63" s="14" t="n">
        <v>5</v>
      </c>
      <c r="B63" s="14" t="inlineStr">
        <is>
          <t>华都超市（东坑大道北店）</t>
        </is>
      </c>
      <c r="C63" s="14" t="inlineStr">
        <is>
          <t>5.华都超市(东坑大道北店).jpg</t>
        </is>
      </c>
      <c r="D63" s="14" t="inlineStr">
        <is>
          <t>2026-04-02</t>
        </is>
      </c>
      <c r="E63" s="14" t="inlineStr">
        <is>
          <t>东莞市·华都超市(东坑大道北店)</t>
        </is>
      </c>
      <c r="F63" s="14" t="inlineStr">
        <is>
          <t>是</t>
        </is>
      </c>
      <c r="G63" s="14" t="inlineStr">
        <is>
          <t>是</t>
        </is>
      </c>
      <c r="H63" s="14" t="inlineStr">
        <is>
          <t>是</t>
        </is>
      </c>
      <c r="I63" s="14" t="inlineStr">
        <is>
          <t>未发现</t>
        </is>
      </c>
      <c r="J63" s="24" t="inlineStr">
        <is>
          <t>通过</t>
        </is>
      </c>
      <c r="K63" s="18">
        <f>IF(J63="通过",1000,0)</f>
        <v/>
      </c>
      <c r="L63" s="14" t="inlineStr">
        <is>
          <t>水印日期位于合同活动期内。；画面显示多层、多列参半商品落地堆头。；照片无可读取EXIF/GPS；水印真实性及像素级伪造未验证。</t>
        </is>
      </c>
      <c r="M63" s="14" t="inlineStr"/>
    </row>
    <row r="64" ht="108" customHeight="1">
      <c r="A64" s="14" t="n">
        <v>6</v>
      </c>
      <c r="B64" s="14" t="inlineStr">
        <is>
          <t>金大福（东浦金正和总店）</t>
        </is>
      </c>
      <c r="C64" s="14" t="inlineStr">
        <is>
          <t>6.东浦金正和.jpg</t>
        </is>
      </c>
      <c r="D64" s="14" t="n"/>
      <c r="E64" s="14" t="n"/>
      <c r="F64" s="14" t="inlineStr">
        <is>
          <t>无法判断</t>
        </is>
      </c>
      <c r="G64" s="14" t="inlineStr">
        <is>
          <t>弱（仅文件名）</t>
        </is>
      </c>
      <c r="H64" s="14" t="inlineStr">
        <is>
          <t>无法判断</t>
        </is>
      </c>
      <c r="I64" s="14" t="inlineStr">
        <is>
          <t>未发现</t>
        </is>
      </c>
      <c r="J64" s="19" t="inlineStr">
        <is>
          <t>补证</t>
        </is>
      </c>
      <c r="K64" s="18">
        <f>IF(J64="通过",1000,0)</f>
        <v/>
      </c>
      <c r="L64" s="14" t="inlineStr">
        <is>
          <t>无法从画面或EXIF验证拍摄日期是否在活动期内。；无法从画面或EXIF验证拍摄门店。；画面仅显示较小的参半主题陈列台和约两层商品，缺乏比例尺或完整全景，无法确认1平方米堆头或4纵陈列。；文件无可读取EXIF/GPS，且未进行水印真实性或像素级伪造分析。</t>
        </is>
      </c>
      <c r="M64" s="14" t="inlineStr">
        <is>
          <t>补充带清晰日期和门店名称/地址水印的原始现场照片。；补充包含完整堆头全景、层数或尺寸参照的照片，以验证陈列标准。</t>
        </is>
      </c>
    </row>
    <row r="65" ht="108" customHeight="1">
      <c r="A65" s="14" t="n">
        <v>7</v>
      </c>
      <c r="B65" s="14" t="inlineStr">
        <is>
          <t>古原千禧（U·ONE 优城店）</t>
        </is>
      </c>
      <c r="C65" s="14" t="inlineStr">
        <is>
          <t>7.宝安优城店.jpg</t>
        </is>
      </c>
      <c r="D65" s="14" t="inlineStr">
        <is>
          <t>2026-04-03</t>
        </is>
      </c>
      <c r="E65" s="14" t="inlineStr">
        <is>
          <t>深圳市·古原千禧(优城店)</t>
        </is>
      </c>
      <c r="F65" s="14" t="inlineStr">
        <is>
          <t>是</t>
        </is>
      </c>
      <c r="G65" s="14" t="inlineStr">
        <is>
          <t>基本匹配</t>
        </is>
      </c>
      <c r="H65" s="14" t="inlineStr">
        <is>
          <t>是</t>
        </is>
      </c>
      <c r="I65" s="14" t="inlineStr">
        <is>
          <t>未发现</t>
        </is>
      </c>
      <c r="J65" s="24" t="inlineStr">
        <is>
          <t>通过</t>
        </is>
      </c>
      <c r="K65" s="18">
        <f>IF(J65="通过",1000,0)</f>
        <v/>
      </c>
      <c r="L65" s="14" t="inlineStr">
        <is>
          <t>水印日期位于合同活动期内。；画面显示多层、多列参半商品落地陈列。；合同与水印店名存在“U·ONE”前缀差异。；照片无可读取EXIF/GPS；水印真实性及像素级伪造未验证。</t>
        </is>
      </c>
      <c r="M65" s="14" t="inlineStr">
        <is>
          <t>如需消除名称差异，补充优城店官方名称或地址资料。</t>
        </is>
      </c>
    </row>
    <row r="66" ht="108" customHeight="1">
      <c r="A66" s="14" t="n">
        <v>8</v>
      </c>
      <c r="B66" s="14" t="inlineStr">
        <is>
          <t>虎门家家欣</t>
        </is>
      </c>
      <c r="C66" s="14" t="inlineStr">
        <is>
          <t>8.虎门赤岗家家欣.jpg</t>
        </is>
      </c>
      <c r="D66" s="14" t="inlineStr">
        <is>
          <t>2026-04-30</t>
        </is>
      </c>
      <c r="E66" s="14" t="inlineStr">
        <is>
          <t>东莞市·赤岗家家欣商场</t>
        </is>
      </c>
      <c r="F66" s="14" t="inlineStr">
        <is>
          <t>是</t>
        </is>
      </c>
      <c r="G66" s="14" t="inlineStr">
        <is>
          <t>基本匹配</t>
        </is>
      </c>
      <c r="H66" s="14" t="inlineStr">
        <is>
          <t>是</t>
        </is>
      </c>
      <c r="I66" s="14" t="inlineStr">
        <is>
          <t>未发现</t>
        </is>
      </c>
      <c r="J66" s="24" t="inlineStr">
        <is>
          <t>通过</t>
        </is>
      </c>
      <c r="K66" s="18">
        <f>IF(J66="通过",1000,0)</f>
        <v/>
      </c>
      <c r="L66" s="14" t="inlineStr">
        <is>
          <t>水印日期位于合同活动期内。；画面显示至少五层参半礼盒落地陈列。；合同“虎门”与水印“赤岗”之间未提供地址归属映射。；图片分辨率为600×800，但水印及陈列主体可辨认。；照片无可读取EXIF/GPS；水印真实性及像素级伪造未验证。</t>
        </is>
      </c>
      <c r="M66" s="14" t="inlineStr">
        <is>
          <t>补充赤岗家家欣属于合同虎门家家欣的地址或官方门店映射。</t>
        </is>
      </c>
    </row>
    <row r="67" ht="108" customHeight="1">
      <c r="A67" s="14" t="n">
        <v>9</v>
      </c>
      <c r="B67" s="14" t="inlineStr">
        <is>
          <t>花都宜多</t>
        </is>
      </c>
      <c r="C67" s="14" t="inlineStr">
        <is>
          <t>9.花都宜多.jpg</t>
        </is>
      </c>
      <c r="D67" s="14" t="inlineStr">
        <is>
          <t>2026-04-30</t>
        </is>
      </c>
      <c r="E67" s="14" t="inlineStr">
        <is>
          <t>广东省广州市花都区炭步镇·炭步宜多百货</t>
        </is>
      </c>
      <c r="F67" s="14" t="inlineStr">
        <is>
          <t>是</t>
        </is>
      </c>
      <c r="G67" s="14" t="inlineStr">
        <is>
          <t>基本匹配</t>
        </is>
      </c>
      <c r="H67" s="14" t="inlineStr">
        <is>
          <t>是</t>
        </is>
      </c>
      <c r="I67" s="14" t="inlineStr">
        <is>
          <t>未发现</t>
        </is>
      </c>
      <c r="J67" s="24" t="inlineStr">
        <is>
          <t>通过</t>
        </is>
      </c>
      <c r="K67" s="18">
        <f>IF(J67="通过",1000,0)</f>
        <v/>
      </c>
      <c r="L67" s="14" t="inlineStr">
        <is>
          <t>水印日期位于合同活动期内。；画面完整显示大型多层、多列商品堆头，其中参半产品占据多个可见陈列面。；合同使用区域简称，水印使用具体镇级门店名称。；照片无可读取EXIF/GPS；水印真实性及像素级伪造未验证。</t>
        </is>
      </c>
      <c r="M67" s="14" t="inlineStr">
        <is>
          <t>如需严格确认，补充花都宜多与炭步宜多百货的官方地址映射。</t>
        </is>
      </c>
    </row>
    <row r="68" ht="108" customHeight="1">
      <c r="A68" s="14" t="n">
        <v>10</v>
      </c>
      <c r="B68" s="14" t="inlineStr">
        <is>
          <t>挺拇指生活超市（横沥店）</t>
        </is>
      </c>
      <c r="C68" s="14" t="inlineStr">
        <is>
          <t>10-1挺拇指生活超市(横沥店).jpg、10-2挺拇指生活超市(横沥店).jpg</t>
        </is>
      </c>
      <c r="D68" s="14" t="inlineStr">
        <is>
          <t>2026-04-30</t>
        </is>
      </c>
      <c r="E68" s="14" t="inlineStr">
        <is>
          <t>东莞市·南铭购物乐园</t>
        </is>
      </c>
      <c r="F68" s="14" t="inlineStr">
        <is>
          <t>是</t>
        </is>
      </c>
      <c r="G68" s="14" t="inlineStr">
        <is>
          <t>不一致</t>
        </is>
      </c>
      <c r="H68" s="14" t="inlineStr">
        <is>
          <t>是</t>
        </is>
      </c>
      <c r="I68" s="14" t="inlineStr">
        <is>
          <t>未发现</t>
        </is>
      </c>
      <c r="J68" s="19" t="inlineStr">
        <is>
          <t>补证</t>
        </is>
      </c>
      <c r="K68" s="18">
        <f>IF(J68="通过",1000,0)</f>
        <v/>
      </c>
      <c r="L68" s="14" t="inlineStr">
        <is>
          <t>两张照片的水印日期均位于合同活动期内。；两张照片从不同角度显示多层、多列参半商品陈列；SHA-256及感知指纹均不同，不是精确或近似重复。；可见地点指向南铭购物乐园，未提供其与合同门店为同一地址、店中店或更名关系的证明。；照片无可读取EXIF/GPS；水印真实性及像素级伪造未验证。</t>
        </is>
      </c>
      <c r="M68" s="14" t="inlineStr">
        <is>
          <t>补充南铭购物乐园与挺拇指生活超市横沥店的权威地址、店中店或更名映射；否则补交合同门店现场照片。</t>
        </is>
      </c>
    </row>
    <row r="69" ht="108" customHeight="1">
      <c r="A69" s="14" t="n">
        <v>11</v>
      </c>
      <c r="B69" s="14" t="inlineStr">
        <is>
          <t>人人购物广场荟和二店</t>
        </is>
      </c>
      <c r="C69" s="14" t="inlineStr">
        <is>
          <t>11.人人购物荟和超市.jpg</t>
        </is>
      </c>
      <c r="D69" s="14" t="inlineStr">
        <is>
          <t>2026-04-30</t>
        </is>
      </c>
      <c r="E69" s="14" t="inlineStr">
        <is>
          <t>深圳市·荟和超市(人人购物同乐店)</t>
        </is>
      </c>
      <c r="F69" s="14" t="inlineStr">
        <is>
          <t>是</t>
        </is>
      </c>
      <c r="G69" s="14" t="inlineStr">
        <is>
          <t>不一致</t>
        </is>
      </c>
      <c r="H69" s="14" t="inlineStr">
        <is>
          <t>是</t>
        </is>
      </c>
      <c r="I69" s="14" t="inlineStr">
        <is>
          <t>未发现</t>
        </is>
      </c>
      <c r="J69" s="19" t="inlineStr">
        <is>
          <t>补证</t>
        </is>
      </c>
      <c r="K69" s="18">
        <f>IF(J69="通过",1000,0)</f>
        <v/>
      </c>
      <c r="L69" s="14" t="inlineStr">
        <is>
          <t>水印日期位于合同活动期内。；画面完整显示大型多层、多列参半商品堆头。；“同乐店”与“荟和二店”可能涉及别名或不同门店，但现有材料不能确认。；照片无可读取EXIF/GPS；水印真实性及像素级伪造未验证。</t>
        </is>
      </c>
      <c r="M69" s="14" t="inlineStr">
        <is>
          <t>补充人人购物同乐店与人人购物广场荟和二店的官方地址/别名映射；否则补交合同门店照片。</t>
        </is>
      </c>
    </row>
    <row r="70" ht="108" customHeight="1">
      <c r="A70" s="14" t="n">
        <v>12</v>
      </c>
      <c r="B70" s="14" t="inlineStr">
        <is>
          <t>三乐购物广场（森扬商业广场店）</t>
        </is>
      </c>
      <c r="C70" s="14" t="inlineStr">
        <is>
          <t>12.三乐购物广场(森扬商业广场店).jpg</t>
        </is>
      </c>
      <c r="D70" s="14" t="inlineStr">
        <is>
          <t>2026-04-30</t>
        </is>
      </c>
      <c r="E70" s="14" t="inlineStr">
        <is>
          <t>东莞市·三乐购物广场(森扬商业广场店)</t>
        </is>
      </c>
      <c r="F70" s="14" t="inlineStr">
        <is>
          <t>是</t>
        </is>
      </c>
      <c r="G70" s="14" t="inlineStr">
        <is>
          <t>是</t>
        </is>
      </c>
      <c r="H70" s="14" t="inlineStr">
        <is>
          <t>是</t>
        </is>
      </c>
      <c r="I70" s="14" t="inlineStr">
        <is>
          <t>未发现</t>
        </is>
      </c>
      <c r="J70" s="24" t="inlineStr">
        <is>
          <t>通过</t>
        </is>
      </c>
      <c r="K70" s="18">
        <f>IF(J70="通过",1000,0)</f>
        <v/>
      </c>
      <c r="L70" s="14" t="inlineStr">
        <is>
          <t>水印日期位于合同活动期内。；画面显示大型多层、多列参半商品落地陈列。；照片无可读取EXIF/GPS；水印真实性及像素级伪造未验证。</t>
        </is>
      </c>
      <c r="M70" s="14" t="inlineStr"/>
    </row>
    <row r="71" ht="108" customHeight="1">
      <c r="A71" s="14" t="n">
        <v>13</v>
      </c>
      <c r="B71" s="14" t="inlineStr">
        <is>
          <t>沙井九龙</t>
        </is>
      </c>
      <c r="C71" s="14" t="inlineStr">
        <is>
          <t>13.沙井九龙.jpg</t>
        </is>
      </c>
      <c r="D71" s="14" t="inlineStr">
        <is>
          <t>2026-04-29</t>
        </is>
      </c>
      <c r="E71" s="14" t="inlineStr">
        <is>
          <t>深圳市·九龙购物中心(宝安沙井店)</t>
        </is>
      </c>
      <c r="F71" s="14" t="inlineStr">
        <is>
          <t>是</t>
        </is>
      </c>
      <c r="G71" s="14" t="inlineStr">
        <is>
          <t>基本匹配</t>
        </is>
      </c>
      <c r="H71" s="14" t="inlineStr">
        <is>
          <t>是</t>
        </is>
      </c>
      <c r="I71" s="14" t="inlineStr">
        <is>
          <t>未发现</t>
        </is>
      </c>
      <c r="J71" s="24" t="inlineStr">
        <is>
          <t>通过</t>
        </is>
      </c>
      <c r="K71" s="18">
        <f>IF(J71="通过",1000,0)</f>
        <v/>
      </c>
      <c r="L71" s="14" t="inlineStr">
        <is>
          <t>水印日期位于合同活动期内。；画面显示大型多层、多列参半商品落地堆头。；合同使用简称，水印使用完整购物中心名称。；照片无可读取EXIF/GPS；水印真实性及像素级伪造未验证。</t>
        </is>
      </c>
      <c r="M71" s="14" t="inlineStr">
        <is>
          <t>如需消除简称差异，补充九龙购物中心宝安沙井店的官方门店资料。</t>
        </is>
      </c>
    </row>
    <row r="72" ht="108" customHeight="1">
      <c r="A72" s="14" t="n">
        <v>14</v>
      </c>
      <c r="B72" s="14" t="inlineStr">
        <is>
          <t>润家连锁超市（美联购物中心店）</t>
        </is>
      </c>
      <c r="C72" s="14" t="inlineStr">
        <is>
          <t>14.润家连锁超市(美联购物中心店).jpg</t>
        </is>
      </c>
      <c r="D72" s="14" t="inlineStr">
        <is>
          <t>2026-04-30</t>
        </is>
      </c>
      <c r="E72" s="14" t="inlineStr">
        <is>
          <t>深圳市宝安区·深圳紫云快捷宾馆</t>
        </is>
      </c>
      <c r="F72" s="14" t="inlineStr">
        <is>
          <t>是</t>
        </is>
      </c>
      <c r="G72" s="14" t="inlineStr">
        <is>
          <t>不一致</t>
        </is>
      </c>
      <c r="H72" s="14" t="inlineStr">
        <is>
          <t>是</t>
        </is>
      </c>
      <c r="I72" s="14" t="inlineStr">
        <is>
          <t>未发现</t>
        </is>
      </c>
      <c r="J72" s="19" t="inlineStr">
        <is>
          <t>补证</t>
        </is>
      </c>
      <c r="K72" s="18">
        <f>IF(J72="通过",1000,0)</f>
        <v/>
      </c>
      <c r="L72" s="14" t="inlineStr">
        <is>
          <t>水印日期位于合同活动期内。；画面显示多层、多列参半商品落地陈列。；可见地点为宾馆而非合同门店，且未提供商场、店中店或相邻地址映射。；照片无可读取EXIF/GPS；水印真实性及像素级伪造未验证。</t>
        </is>
      </c>
      <c r="M72" s="14" t="inlineStr">
        <is>
          <t>补充深圳紫云快捷宾馆位置与润家连锁超市美联购物中心店的权威地址关系；否则补交合同门店现场照片。</t>
        </is>
      </c>
    </row>
    <row r="73" ht="108" customHeight="1">
      <c r="A73" s="14" t="n">
        <v>15</v>
      </c>
      <c r="B73" s="14" t="inlineStr">
        <is>
          <t>百佳华（石岩店）</t>
        </is>
      </c>
      <c r="C73" s="14" t="inlineStr">
        <is>
          <t>15。石岩百佳华.jpg</t>
        </is>
      </c>
      <c r="D73" s="14" t="inlineStr">
        <is>
          <t>2026-04-30</t>
        </is>
      </c>
      <c r="E73" s="14" t="inlineStr">
        <is>
          <t>广东省深圳市宝安区石岩街道佳华豪苑</t>
        </is>
      </c>
      <c r="F73" s="14" t="inlineStr">
        <is>
          <t>是</t>
        </is>
      </c>
      <c r="G73" s="14" t="inlineStr">
        <is>
          <t>基本匹配</t>
        </is>
      </c>
      <c r="H73" s="14" t="inlineStr">
        <is>
          <t>是</t>
        </is>
      </c>
      <c r="I73" s="14" t="inlineStr">
        <is>
          <t>未发现</t>
        </is>
      </c>
      <c r="J73" s="24" t="inlineStr">
        <is>
          <t>通过</t>
        </is>
      </c>
      <c r="K73" s="18">
        <f>IF(J73="通过",1000,0)</f>
        <v/>
      </c>
      <c r="L73" s="14" t="inlineStr">
        <is>
          <t>水印日期位于合同活动期内。；画面虽有轻微雾化/反光，但仍可见至少四层参半商品陈列。；合同未提供地址，无法仅凭现有材料确认佳华豪苑就是百佳华石岩店地址。；照片无可读取EXIF/GPS；水印真实性及像素级伪造未验证。</t>
        </is>
      </c>
      <c r="M73" s="14" t="inlineStr">
        <is>
          <t>补充百佳华石岩店位于佳华豪苑的官方地址、门头照片或门店清单映射。</t>
        </is>
      </c>
    </row>
    <row r="74" ht="108" customHeight="1">
      <c r="A74" s="14" t="n">
        <v>16</v>
      </c>
      <c r="B74" s="14" t="inlineStr">
        <is>
          <t>田心金正和</t>
        </is>
      </c>
      <c r="C74" s="14" t="inlineStr">
        <is>
          <t>16.田心金正和.jpg</t>
        </is>
      </c>
      <c r="D74" s="14" t="inlineStr">
        <is>
          <t>2026-04-30</t>
        </is>
      </c>
      <c r="E74" s="14" t="inlineStr">
        <is>
          <t>东莞市·金正和百货(田心文化商业广场店)</t>
        </is>
      </c>
      <c r="F74" s="14" t="inlineStr">
        <is>
          <t>是</t>
        </is>
      </c>
      <c r="G74" s="14" t="inlineStr">
        <is>
          <t>基本匹配</t>
        </is>
      </c>
      <c r="H74" s="14" t="inlineStr">
        <is>
          <t>是</t>
        </is>
      </c>
      <c r="I74" s="14" t="inlineStr">
        <is>
          <t>未发现</t>
        </is>
      </c>
      <c r="J74" s="24" t="inlineStr">
        <is>
          <t>通过</t>
        </is>
      </c>
      <c r="K74" s="18">
        <f>IF(J74="通过",1000,0)</f>
        <v/>
      </c>
      <c r="L74" s="14" t="inlineStr">
        <is>
          <t>水印日期位于合同活动期内。；画面显示大型多层、多列参半商品落地堆头。；合同使用简称，水印使用完整门店名称。；照片无可读取EXIF/GPS；水印真实性及像素级伪造未验证。</t>
        </is>
      </c>
      <c r="M74" s="14" t="inlineStr">
        <is>
          <t>如需消除简称差异，补充田心金正和的官方门店名称或地址。</t>
        </is>
      </c>
    </row>
    <row r="75" ht="108" customHeight="1">
      <c r="A75" s="14" t="n">
        <v>17</v>
      </c>
      <c r="B75" s="14" t="inlineStr">
        <is>
          <t>荟和超市（莹展荟店）</t>
        </is>
      </c>
      <c r="C75" s="14" t="inlineStr">
        <is>
          <t>17·荟和超市(莹展荟店).jpg</t>
        </is>
      </c>
      <c r="D75" s="14" t="inlineStr">
        <is>
          <t>2026-04-30</t>
        </is>
      </c>
      <c r="E75" s="14" t="inlineStr">
        <is>
          <t>深圳市·荟和超市(莹展荟店)</t>
        </is>
      </c>
      <c r="F75" s="14" t="inlineStr">
        <is>
          <t>是</t>
        </is>
      </c>
      <c r="G75" s="14" t="inlineStr">
        <is>
          <t>是</t>
        </is>
      </c>
      <c r="H75" s="14" t="inlineStr">
        <is>
          <t>是</t>
        </is>
      </c>
      <c r="I75" s="14" t="inlineStr">
        <is>
          <t>未发现</t>
        </is>
      </c>
      <c r="J75" s="24" t="inlineStr">
        <is>
          <t>通过</t>
        </is>
      </c>
      <c r="K75" s="18">
        <f>IF(J75="通过",1000,0)</f>
        <v/>
      </c>
      <c r="L75" s="14" t="inlineStr">
        <is>
          <t>水印日期位于合同活动期内。；画面显示大型多层、多列参半商品落地堆头。；照片无可读取EXIF/GPS；水印真实性及像素级伪造未验证。</t>
        </is>
      </c>
      <c r="M75" s="14" t="inlineStr"/>
    </row>
    <row r="76" ht="108" customHeight="1">
      <c r="A76" s="14" t="n">
        <v>18</v>
      </c>
      <c r="B76" s="14" t="inlineStr">
        <is>
          <t>三乐购物广场（坦洲店）</t>
        </is>
      </c>
      <c r="C76" s="14" t="inlineStr">
        <is>
          <t>18.三乐购物广场(坦洲店).jpg</t>
        </is>
      </c>
      <c r="D76" s="14" t="inlineStr">
        <is>
          <t>2026-04-06</t>
        </is>
      </c>
      <c r="E76" s="14" t="inlineStr">
        <is>
          <t>中山市·三乐购物广场(坦洲店)</t>
        </is>
      </c>
      <c r="F76" s="14" t="inlineStr">
        <is>
          <t>是</t>
        </is>
      </c>
      <c r="G76" s="14" t="inlineStr">
        <is>
          <t>是</t>
        </is>
      </c>
      <c r="H76" s="14" t="inlineStr">
        <is>
          <t>是</t>
        </is>
      </c>
      <c r="I76" s="14" t="inlineStr">
        <is>
          <t>未发现</t>
        </is>
      </c>
      <c r="J76" s="24" t="inlineStr">
        <is>
          <t>通过</t>
        </is>
      </c>
      <c r="K76" s="18">
        <f>IF(J76="通过",1000,0)</f>
        <v/>
      </c>
      <c r="L76" s="14" t="inlineStr">
        <is>
          <t>水印日期位于合同活动期内。；画面显示至少四层、多列参半商品陈列。；照片无可读取EXIF/GPS；水印真实性及像素级伪造未验证。</t>
        </is>
      </c>
      <c r="M76" s="14" t="inlineStr"/>
    </row>
    <row r="77" ht="108" customHeight="1">
      <c r="A77" s="14" t="n">
        <v>19</v>
      </c>
      <c r="B77" s="14" t="inlineStr">
        <is>
          <t>大康惠福源商业广场</t>
        </is>
      </c>
      <c r="C77" s="14" t="inlineStr">
        <is>
          <t>19.福源大康惠.jpg</t>
        </is>
      </c>
      <c r="D77" s="14" t="inlineStr">
        <is>
          <t>2026-04-30</t>
        </is>
      </c>
      <c r="E77" s="14" t="inlineStr">
        <is>
          <t>东莞市·福源商业广场</t>
        </is>
      </c>
      <c r="F77" s="14" t="inlineStr">
        <is>
          <t>是</t>
        </is>
      </c>
      <c r="G77" s="14" t="inlineStr">
        <is>
          <t>基本匹配</t>
        </is>
      </c>
      <c r="H77" s="14" t="inlineStr">
        <is>
          <t>是</t>
        </is>
      </c>
      <c r="I77" s="14" t="inlineStr">
        <is>
          <t>未发现</t>
        </is>
      </c>
      <c r="J77" s="24" t="inlineStr">
        <is>
          <t>通过</t>
        </is>
      </c>
      <c r="K77" s="18">
        <f>IF(J77="通过",1000,0)</f>
        <v/>
      </c>
      <c r="L77" s="14" t="inlineStr">
        <is>
          <t>水印日期位于合同活动期内。；画面显示大型、多层、多面商品堆头，参半商品分布在多个陈列层。；合同与水印名称存在前缀省略，未提供官方简称映射。；照片无可读取EXIF/GPS；水印真实性及像素级伪造未验证。</t>
        </is>
      </c>
      <c r="M77" s="14" t="inlineStr">
        <is>
          <t>补充大康惠福源商业广场与福源商业广场的官方名称或地址映射。</t>
        </is>
      </c>
    </row>
    <row r="78" ht="108" customHeight="1">
      <c r="A78" s="14" t="n">
        <v>20</v>
      </c>
      <c r="B78" s="14" t="inlineStr">
        <is>
          <t>好多宝精选超市（龙眼市场店）</t>
        </is>
      </c>
      <c r="C78" s="14" t="inlineStr">
        <is>
          <t>20.好多宝精选超市(龙眼市场店).jpg</t>
        </is>
      </c>
      <c r="D78" s="14" t="inlineStr">
        <is>
          <t>2026-04-02</t>
        </is>
      </c>
      <c r="E78" s="14" t="inlineStr">
        <is>
          <t>龙眼市场(龙眼路)</t>
        </is>
      </c>
      <c r="F78" s="14" t="inlineStr">
        <is>
          <t>是</t>
        </is>
      </c>
      <c r="G78" s="14" t="inlineStr">
        <is>
          <t>基本匹配</t>
        </is>
      </c>
      <c r="H78" s="14" t="inlineStr">
        <is>
          <t>是</t>
        </is>
      </c>
      <c r="I78" s="14" t="inlineStr">
        <is>
          <t>未发现</t>
        </is>
      </c>
      <c r="J78" s="24" t="inlineStr">
        <is>
          <t>通过</t>
        </is>
      </c>
      <c r="K78" s="18">
        <f>IF(J78="通过",1000,0)</f>
        <v/>
      </c>
      <c r="L78" s="14" t="inlineStr">
        <is>
          <t>水印日期位于合同活动期内。；画面显示至少四层、多列参半商品陈列。；合同未提供地址，现有水印只确认龙眼市场位置，未直接确认超市品牌。；照片无可读取EXIF/GPS；水印真实性及像素级伪造未验证。</t>
        </is>
      </c>
      <c r="M78" s="14" t="inlineStr">
        <is>
          <t>补充好多宝精选超市龙眼市场店位于龙眼市场（龙眼路）的官方地址或门头照片。</t>
        </is>
      </c>
    </row>
    <row r="79">
      <c r="A79" s="20" t="inlineStr">
        <is>
          <t>合计</t>
        </is>
      </c>
      <c r="B79" s="20" t="n"/>
      <c r="C79" s="20" t="inlineStr">
        <is>
          <t>照片21张</t>
        </is>
      </c>
      <c r="D79" s="20" t="n"/>
      <c r="E79" s="20" t="n"/>
      <c r="F79" s="20" t="n"/>
      <c r="G79" s="20" t="n"/>
      <c r="H79" s="20" t="n"/>
      <c r="I79" s="20" t="n"/>
      <c r="J79" s="20">
        <f>COUNTIF(J59:J78,"通过")&amp;"家通过"</f>
        <v/>
      </c>
      <c r="K79" s="20">
        <f>SUM(K59:K78)</f>
        <v/>
      </c>
      <c r="L79" s="20" t="n"/>
      <c r="M79" s="20" t="n"/>
    </row>
    <row r="81" ht="24" customHeight="1">
      <c r="A81" s="11" t="inlineStr">
        <is>
          <t>四、销售Excel 36条SKU明细</t>
        </is>
      </c>
    </row>
    <row r="82" ht="42" customHeight="1">
      <c r="A82" s="12" t="inlineStr">
        <is>
          <t>来源：2026年4月销售明细20260509164207765.xlsx / Sheet1。客户和期间与合同一致，但没有门店字段。</t>
        </is>
      </c>
    </row>
    <row r="83" ht="30" customHeight="1">
      <c r="A83" s="13" t="inlineStr">
        <is>
          <t>Excel行</t>
        </is>
      </c>
      <c r="B83" s="13" t="inlineStr">
        <is>
          <t>客户</t>
        </is>
      </c>
      <c r="C83" s="13" t="inlineStr">
        <is>
          <t>期间</t>
        </is>
      </c>
      <c r="D83" s="13" t="inlineStr">
        <is>
          <t>商品编码</t>
        </is>
      </c>
      <c r="E83" s="13" t="inlineStr">
        <is>
          <t>条码</t>
        </is>
      </c>
      <c r="F83" s="13" t="inlineStr">
        <is>
          <t>商品名称</t>
        </is>
      </c>
      <c r="G83" s="13" t="inlineStr">
        <is>
          <t>数量</t>
        </is>
      </c>
      <c r="H83" s="13" t="inlineStr">
        <is>
          <t>零售金额</t>
        </is>
      </c>
      <c r="I83" s="13" t="inlineStr">
        <is>
          <t>在本案中的作用</t>
        </is>
      </c>
    </row>
    <row r="84" outlineLevel="1" ht="36" customHeight="1">
      <c r="A84" s="14" t="n">
        <v>2</v>
      </c>
      <c r="B84" s="14" t="inlineStr">
        <is>
          <t>东莞市诚成行供应链管理有限公司</t>
        </is>
      </c>
      <c r="C84" s="14" t="inlineStr">
        <is>
          <t>2026-04-01 至 2026-04-30</t>
        </is>
      </c>
      <c r="D84" s="14" t="inlineStr">
        <is>
          <t>020260012</t>
        </is>
      </c>
      <c r="E84" s="14" t="inlineStr">
        <is>
          <t>6970356167334</t>
        </is>
      </c>
      <c r="F84" s="14" t="inlineStr">
        <is>
          <t>参半oralshark-SP1高山茉莉味科研白牙膏180g</t>
        </is>
      </c>
      <c r="G84" s="15" t="n">
        <v>812</v>
      </c>
      <c r="H84" s="17" t="n">
        <v>13722.8</v>
      </c>
      <c r="I84" s="14" t="inlineStr">
        <is>
          <t>支持合同客户和活动期内的总体销售；不能证明单店陈列。</t>
        </is>
      </c>
    </row>
    <row r="85" outlineLevel="1" ht="36" customHeight="1">
      <c r="A85" s="14" t="n">
        <v>3</v>
      </c>
      <c r="B85" s="14" t="inlineStr">
        <is>
          <t>东莞市诚成行供应链管理有限公司</t>
        </is>
      </c>
      <c r="C85" s="14" t="inlineStr">
        <is>
          <t>2026-04-01 至 2026-04-30</t>
        </is>
      </c>
      <c r="D85" s="14" t="inlineStr">
        <is>
          <t>020260011</t>
        </is>
      </c>
      <c r="E85" s="14" t="inlineStr">
        <is>
          <t>6970356167341</t>
        </is>
      </c>
      <c r="F85" s="14" t="inlineStr">
        <is>
          <t>参半oralshark-SP1玫瑰清茶味净清新牙膏180g</t>
        </is>
      </c>
      <c r="G85" s="15" t="n">
        <v>1099</v>
      </c>
      <c r="H85" s="17" t="n">
        <v>15166.2</v>
      </c>
      <c r="I85" s="14" t="inlineStr">
        <is>
          <t>支持合同客户和活动期内的总体销售；不能证明单店陈列。</t>
        </is>
      </c>
    </row>
    <row r="86" outlineLevel="1" ht="36" customHeight="1">
      <c r="A86" s="14" t="n">
        <v>4</v>
      </c>
      <c r="B86" s="14" t="inlineStr">
        <is>
          <t>东莞市诚成行供应链管理有限公司</t>
        </is>
      </c>
      <c r="C86" s="14" t="inlineStr">
        <is>
          <t>2026-04-01 至 2026-04-30</t>
        </is>
      </c>
      <c r="D86" s="14" t="inlineStr">
        <is>
          <t>020260009</t>
        </is>
      </c>
      <c r="E86" s="14" t="inlineStr">
        <is>
          <t>6970356164241</t>
        </is>
      </c>
      <c r="F86" s="14" t="inlineStr">
        <is>
          <t>参半oralshark-SP2凝香茉莉味氨基酸牙膏180g</t>
        </is>
      </c>
      <c r="G86" s="15" t="n">
        <v>567</v>
      </c>
      <c r="H86" s="17" t="n">
        <v>11283.3</v>
      </c>
      <c r="I86" s="14" t="inlineStr">
        <is>
          <t>支持合同客户和活动期内的总体销售；不能证明单店陈列。</t>
        </is>
      </c>
    </row>
    <row r="87" outlineLevel="1" ht="36" customHeight="1">
      <c r="A87" s="14" t="n">
        <v>5</v>
      </c>
      <c r="B87" s="14" t="inlineStr">
        <is>
          <t>东莞市诚成行供应链管理有限公司</t>
        </is>
      </c>
      <c r="C87" s="14" t="inlineStr">
        <is>
          <t>2026-04-01 至 2026-04-30</t>
        </is>
      </c>
      <c r="D87" s="14" t="inlineStr">
        <is>
          <t>020260007</t>
        </is>
      </c>
      <c r="E87" s="14" t="inlineStr">
        <is>
          <t>6970356164203</t>
        </is>
      </c>
      <c r="F87" s="14" t="inlineStr">
        <is>
          <t>参半oralshark-SP2十里晚香味益清新牙膏180g</t>
        </is>
      </c>
      <c r="G87" s="15" t="n">
        <v>308</v>
      </c>
      <c r="H87" s="17" t="n">
        <v>7669.2</v>
      </c>
      <c r="I87" s="14" t="inlineStr">
        <is>
          <t>支持合同客户和活动期内的总体销售；不能证明单店陈列。</t>
        </is>
      </c>
    </row>
    <row r="88" outlineLevel="1" ht="36" customHeight="1">
      <c r="A88" s="14" t="n">
        <v>6</v>
      </c>
      <c r="B88" s="14" t="inlineStr">
        <is>
          <t>东莞市诚成行供应链管理有限公司</t>
        </is>
      </c>
      <c r="C88" s="14" t="inlineStr">
        <is>
          <t>2026-04-01 至 2026-04-30</t>
        </is>
      </c>
      <c r="D88" s="14" t="inlineStr">
        <is>
          <t>020260008</t>
        </is>
      </c>
      <c r="E88" s="14" t="inlineStr">
        <is>
          <t>6970356164258</t>
        </is>
      </c>
      <c r="F88" s="14" t="inlineStr">
        <is>
          <t>参半oralshark-SP3清水白桃味星璨白牙膏160g</t>
        </is>
      </c>
      <c r="G88" s="15" t="n">
        <v>61</v>
      </c>
      <c r="H88" s="17" t="n">
        <v>1823.9</v>
      </c>
      <c r="I88" s="14" t="inlineStr">
        <is>
          <t>支持合同客户和活动期内的总体销售；不能证明单店陈列。</t>
        </is>
      </c>
    </row>
    <row r="89" outlineLevel="1" ht="36" customHeight="1">
      <c r="A89" s="14" t="n">
        <v>7</v>
      </c>
      <c r="B89" s="14" t="inlineStr">
        <is>
          <t>东莞市诚成行供应链管理有限公司</t>
        </is>
      </c>
      <c r="C89" s="14" t="inlineStr">
        <is>
          <t>2026-04-01 至 2026-04-30</t>
        </is>
      </c>
      <c r="D89" s="14" t="inlineStr">
        <is>
          <t>020260013</t>
        </is>
      </c>
      <c r="E89" s="14" t="inlineStr">
        <is>
          <t>6970356164296</t>
        </is>
      </c>
      <c r="F89" s="14" t="inlineStr">
        <is>
          <t>参半oralshark-SP4倍感薄荷味清新牙膏120g</t>
        </is>
      </c>
      <c r="G89" s="15" t="n">
        <v>129</v>
      </c>
      <c r="H89" s="17" t="n">
        <v>5147.1</v>
      </c>
      <c r="I89" s="14" t="inlineStr">
        <is>
          <t>支持合同客户和活动期内的总体销售；不能证明单店陈列。</t>
        </is>
      </c>
    </row>
    <row r="90" outlineLevel="1" ht="36" customHeight="1">
      <c r="A90" s="14" t="n">
        <v>8</v>
      </c>
      <c r="B90" s="14" t="inlineStr">
        <is>
          <t>东莞市诚成行供应链管理有限公司</t>
        </is>
      </c>
      <c r="C90" s="14" t="inlineStr">
        <is>
          <t>2026-04-01 至 2026-04-30</t>
        </is>
      </c>
      <c r="D90" s="14" t="inlineStr">
        <is>
          <t>020260010</t>
        </is>
      </c>
      <c r="E90" s="14" t="inlineStr">
        <is>
          <t>6970356164289</t>
        </is>
      </c>
      <c r="F90" s="14" t="inlineStr">
        <is>
          <t>参半oralshark-SP4美白牙膏120g</t>
        </is>
      </c>
      <c r="G90" s="15" t="n">
        <v>325</v>
      </c>
      <c r="H90" s="17" t="n">
        <v>9717.5</v>
      </c>
      <c r="I90" s="14" t="inlineStr">
        <is>
          <t>支持合同客户和活动期内的总体销售；不能证明单店陈列。</t>
        </is>
      </c>
    </row>
    <row r="91" outlineLevel="1" ht="36" customHeight="1">
      <c r="A91" s="14" t="n">
        <v>9</v>
      </c>
      <c r="B91" s="14" t="inlineStr">
        <is>
          <t>东莞市诚成行供应链管理有限公司</t>
        </is>
      </c>
      <c r="C91" s="14" t="inlineStr">
        <is>
          <t>2026-04-01 至 2026-04-30</t>
        </is>
      </c>
      <c r="D91" s="14" t="inlineStr">
        <is>
          <t>020260031</t>
        </is>
      </c>
      <c r="E91" s="14" t="inlineStr">
        <is>
          <t>6970356166979</t>
        </is>
      </c>
      <c r="F91" s="14" t="inlineStr">
        <is>
          <t>参半oralshark口气清新护理3+2量贩装160g+160g+100g</t>
        </is>
      </c>
      <c r="G91" s="15" t="n">
        <v>3517</v>
      </c>
      <c r="H91" s="17" t="n">
        <v>105158.3</v>
      </c>
      <c r="I91" s="14" t="inlineStr">
        <is>
          <t>支持合同客户和活动期内的总体销售；不能证明单店陈列。</t>
        </is>
      </c>
    </row>
    <row r="92" outlineLevel="1" ht="36" customHeight="1">
      <c r="A92" s="14" t="n">
        <v>10</v>
      </c>
      <c r="B92" s="14" t="inlineStr">
        <is>
          <t>东莞市诚成行供应链管理有限公司</t>
        </is>
      </c>
      <c r="C92" s="14" t="inlineStr">
        <is>
          <t>2026-04-01 至 2026-04-30</t>
        </is>
      </c>
      <c r="D92" s="14" t="inlineStr">
        <is>
          <t>020260037</t>
        </is>
      </c>
      <c r="E92" s="14" t="inlineStr">
        <is>
          <t>6970356164388</t>
        </is>
      </c>
      <c r="F92" s="14" t="inlineStr">
        <is>
          <t>参半oralshark臻白沁香1+2特享装牙膏（小苏打160g+西柚100g+龙井100g）</t>
        </is>
      </c>
      <c r="G92" s="15" t="n">
        <v>406</v>
      </c>
      <c r="H92" s="17" t="n">
        <v>12139.4</v>
      </c>
      <c r="I92" s="14" t="inlineStr">
        <is>
          <t>支持合同客户和活动期内的总体销售；不能证明单店陈列。</t>
        </is>
      </c>
    </row>
    <row r="93" outlineLevel="1" ht="36" customHeight="1">
      <c r="A93" s="14" t="n">
        <v>11</v>
      </c>
      <c r="B93" s="14" t="inlineStr">
        <is>
          <t>东莞市诚成行供应链管理有限公司</t>
        </is>
      </c>
      <c r="C93" s="14" t="inlineStr">
        <is>
          <t>2026-04-01 至 2026-04-30</t>
        </is>
      </c>
      <c r="D93" s="14" t="inlineStr">
        <is>
          <t>030160008</t>
        </is>
      </c>
      <c r="E93" s="14" t="inlineStr">
        <is>
          <t>6970356164159</t>
        </is>
      </c>
      <c r="F93" s="14" t="inlineStr">
        <is>
          <t>参半白巧棒牙刷（单支装 ）代言人</t>
        </is>
      </c>
      <c r="G93" s="15" t="n">
        <v>128</v>
      </c>
      <c r="H93" s="17" t="n">
        <v>2150.4</v>
      </c>
      <c r="I93" s="14" t="inlineStr">
        <is>
          <t>支持合同客户和活动期内的总体销售；不能证明单店陈列。</t>
        </is>
      </c>
    </row>
    <row r="94" outlineLevel="1" ht="36" customHeight="1">
      <c r="A94" s="14" t="n">
        <v>12</v>
      </c>
      <c r="B94" s="14" t="inlineStr">
        <is>
          <t>东莞市诚成行供应链管理有限公司</t>
        </is>
      </c>
      <c r="C94" s="14" t="inlineStr">
        <is>
          <t>2026-04-01 至 2026-04-30</t>
        </is>
      </c>
      <c r="D94" s="14" t="inlineStr">
        <is>
          <t>020260034</t>
        </is>
      </c>
      <c r="E94" s="14" t="inlineStr">
        <is>
          <t>6970356168454</t>
        </is>
      </c>
      <c r="F94" s="14" t="inlineStr">
        <is>
          <t>参半倍养护牙膏100g</t>
        </is>
      </c>
      <c r="G94" s="15" t="n">
        <v>813</v>
      </c>
      <c r="H94" s="17" t="n">
        <v>16178.7</v>
      </c>
      <c r="I94" s="14" t="inlineStr">
        <is>
          <t>支持合同客户和活动期内的总体销售；不能证明单店陈列。</t>
        </is>
      </c>
    </row>
    <row r="95" outlineLevel="1" ht="36" customHeight="1">
      <c r="A95" s="14" t="n">
        <v>13</v>
      </c>
      <c r="B95" s="14" t="inlineStr">
        <is>
          <t>东莞市诚成行供应链管理有限公司</t>
        </is>
      </c>
      <c r="C95" s="14" t="inlineStr">
        <is>
          <t>2026-04-01 至 2026-04-30</t>
        </is>
      </c>
      <c r="D95" s="14" t="inlineStr">
        <is>
          <t>020260005</t>
        </is>
      </c>
      <c r="E95" s="14" t="inlineStr">
        <is>
          <t>6970356165774</t>
        </is>
      </c>
      <c r="F95" s="14" t="inlineStr">
        <is>
          <t>参半草莓优格味儿童乳酸菌牙膏60g</t>
        </is>
      </c>
      <c r="G95" s="15" t="n">
        <v>114</v>
      </c>
      <c r="H95" s="17" t="n">
        <v>2496.6</v>
      </c>
      <c r="I95" s="14" t="inlineStr">
        <is>
          <t>支持合同客户和活动期内的总体销售；不能证明单店陈列。</t>
        </is>
      </c>
    </row>
    <row r="96" outlineLevel="1" ht="36" customHeight="1">
      <c r="A96" s="14" t="n">
        <v>14</v>
      </c>
      <c r="B96" s="14" t="inlineStr">
        <is>
          <t>东莞市诚成行供应链管理有限公司</t>
        </is>
      </c>
      <c r="C96" s="14" t="inlineStr">
        <is>
          <t>2026-04-01 至 2026-04-30</t>
        </is>
      </c>
      <c r="D96" s="14" t="inlineStr">
        <is>
          <t>020260015</t>
        </is>
      </c>
      <c r="E96" s="14" t="inlineStr">
        <is>
          <t>6970356168904</t>
        </is>
      </c>
      <c r="F96" s="14" t="inlineStr">
        <is>
          <t>参半多效清新口腔喷雾（劲爽薄荷）20ml</t>
        </is>
      </c>
      <c r="G96" s="15" t="n">
        <v>28</v>
      </c>
      <c r="H96" s="17" t="n">
        <v>728</v>
      </c>
      <c r="I96" s="14" t="inlineStr">
        <is>
          <t>支持合同客户和活动期内的总体销售；不能证明单店陈列。</t>
        </is>
      </c>
    </row>
    <row r="97" outlineLevel="1" ht="36" customHeight="1">
      <c r="A97" s="14" t="n">
        <v>15</v>
      </c>
      <c r="B97" s="14" t="inlineStr">
        <is>
          <t>东莞市诚成行供应链管理有限公司</t>
        </is>
      </c>
      <c r="C97" s="14" t="inlineStr">
        <is>
          <t>2026-04-01 至 2026-04-30</t>
        </is>
      </c>
      <c r="D97" s="14" t="inlineStr">
        <is>
          <t>020260019</t>
        </is>
      </c>
      <c r="E97" s="14" t="inlineStr">
        <is>
          <t>6970356165910</t>
        </is>
      </c>
      <c r="F97" s="14" t="inlineStr">
        <is>
          <t>参半儿童蜜桃味奥拉氟牙膏60g</t>
        </is>
      </c>
      <c r="G97" s="15" t="n">
        <v>98</v>
      </c>
      <c r="H97" s="17" t="n">
        <v>2930.2</v>
      </c>
      <c r="I97" s="14" t="inlineStr">
        <is>
          <t>支持合同客户和活动期内的总体销售；不能证明单店陈列。</t>
        </is>
      </c>
    </row>
    <row r="98" outlineLevel="1" ht="36" customHeight="1">
      <c r="A98" s="14" t="n">
        <v>16</v>
      </c>
      <c r="B98" s="14" t="inlineStr">
        <is>
          <t>东莞市诚成行供应链管理有限公司</t>
        </is>
      </c>
      <c r="C98" s="14" t="inlineStr">
        <is>
          <t>2026-04-01 至 2026-04-30</t>
        </is>
      </c>
      <c r="D98" s="14" t="inlineStr">
        <is>
          <t>030160005</t>
        </is>
      </c>
      <c r="E98" s="14" t="inlineStr">
        <is>
          <t>6970356166450</t>
        </is>
      </c>
      <c r="F98" s="14" t="inlineStr">
        <is>
          <t>参半儿童泡泡魔法棒牙刷双支装</t>
        </is>
      </c>
      <c r="G98" s="15" t="n">
        <v>170</v>
      </c>
      <c r="H98" s="17" t="n">
        <v>4403</v>
      </c>
      <c r="I98" s="14" t="inlineStr">
        <is>
          <t>支持合同客户和活动期内的总体销售；不能证明单店陈列。</t>
        </is>
      </c>
    </row>
    <row r="99" outlineLevel="1" ht="36" customHeight="1">
      <c r="A99" s="14" t="n">
        <v>17</v>
      </c>
      <c r="B99" s="14" t="inlineStr">
        <is>
          <t>东莞市诚成行供应链管理有限公司</t>
        </is>
      </c>
      <c r="C99" s="14" t="inlineStr">
        <is>
          <t>2026-04-01 至 2026-04-30</t>
        </is>
      </c>
      <c r="D99" s="14" t="inlineStr">
        <is>
          <t>030160004</t>
        </is>
      </c>
      <c r="E99" s="14" t="inlineStr">
        <is>
          <t>6970356166931</t>
        </is>
      </c>
      <c r="F99" s="14" t="inlineStr">
        <is>
          <t>参半儿童宇航员牙刷双支装</t>
        </is>
      </c>
      <c r="G99" s="15" t="n">
        <v>145</v>
      </c>
      <c r="H99" s="17" t="n">
        <v>2885.5</v>
      </c>
      <c r="I99" s="14" t="inlineStr">
        <is>
          <t>支持合同客户和活动期内的总体销售；不能证明单店陈列。</t>
        </is>
      </c>
    </row>
    <row r="100" outlineLevel="1" ht="36" customHeight="1">
      <c r="A100" s="14" t="n">
        <v>18</v>
      </c>
      <c r="B100" s="14" t="inlineStr">
        <is>
          <t>东莞市诚成行供应链管理有限公司</t>
        </is>
      </c>
      <c r="C100" s="14" t="inlineStr">
        <is>
          <t>2026-04-01 至 2026-04-30</t>
        </is>
      </c>
      <c r="D100" s="14" t="inlineStr">
        <is>
          <t>020260022</t>
        </is>
      </c>
      <c r="E100" s="14" t="inlineStr">
        <is>
          <t>6970356162391</t>
        </is>
      </c>
      <c r="F100" s="14" t="inlineStr">
        <is>
          <t>参半沸石净齿牙膏140g</t>
        </is>
      </c>
      <c r="G100" s="15" t="n">
        <v>1082</v>
      </c>
      <c r="H100" s="17" t="n">
        <v>32351.8</v>
      </c>
      <c r="I100" s="14" t="inlineStr">
        <is>
          <t>支持合同客户和活动期内的总体销售；不能证明单店陈列。</t>
        </is>
      </c>
    </row>
    <row r="101" outlineLevel="1" ht="36" customHeight="1">
      <c r="A101" s="14" t="n">
        <v>19</v>
      </c>
      <c r="B101" s="14" t="inlineStr">
        <is>
          <t>东莞市诚成行供应链管理有限公司</t>
        </is>
      </c>
      <c r="C101" s="14" t="inlineStr">
        <is>
          <t>2026-04-01 至 2026-04-30</t>
        </is>
      </c>
      <c r="D101" s="14" t="inlineStr">
        <is>
          <t>020260023</t>
        </is>
      </c>
      <c r="E101" s="14" t="inlineStr">
        <is>
          <t>6970356162810</t>
        </is>
      </c>
      <c r="F101" s="14" t="inlineStr">
        <is>
          <t>参半沸石美白牙膏140g</t>
        </is>
      </c>
      <c r="G101" s="15" t="n">
        <v>1139</v>
      </c>
      <c r="H101" s="17" t="n">
        <v>34056.1</v>
      </c>
      <c r="I101" s="14" t="inlineStr">
        <is>
          <t>支持合同客户和活动期内的总体销售；不能证明单店陈列。</t>
        </is>
      </c>
    </row>
    <row r="102" outlineLevel="1" ht="36" customHeight="1">
      <c r="A102" s="14" t="n">
        <v>20</v>
      </c>
      <c r="B102" s="14" t="inlineStr">
        <is>
          <t>东莞市诚成行供应链管理有限公司</t>
        </is>
      </c>
      <c r="C102" s="14" t="inlineStr">
        <is>
          <t>2026-04-01 至 2026-04-30</t>
        </is>
      </c>
      <c r="D102" s="14" t="inlineStr">
        <is>
          <t>030160009</t>
        </is>
      </c>
      <c r="E102" s="14" t="inlineStr">
        <is>
          <t>6970356160304</t>
        </is>
      </c>
      <c r="F102" s="14" t="inlineStr">
        <is>
          <t>参半光感密柔牙刷 双支装</t>
        </is>
      </c>
      <c r="G102" s="15" t="n">
        <v>104</v>
      </c>
      <c r="H102" s="17" t="n">
        <v>1435.2</v>
      </c>
      <c r="I102" s="14" t="inlineStr">
        <is>
          <t>支持合同客户和活动期内的总体销售；不能证明单店陈列。</t>
        </is>
      </c>
    </row>
    <row r="103" outlineLevel="1" ht="36" customHeight="1">
      <c r="A103" s="14" t="n">
        <v>21</v>
      </c>
      <c r="B103" s="14" t="inlineStr">
        <is>
          <t>东莞市诚成行供应链管理有限公司</t>
        </is>
      </c>
      <c r="C103" s="14" t="inlineStr">
        <is>
          <t>2026-04-01 至 2026-04-30</t>
        </is>
      </c>
      <c r="D103" s="14" t="inlineStr">
        <is>
          <t>030160007</t>
        </is>
      </c>
      <c r="E103" s="14" t="inlineStr">
        <is>
          <t>6970356164500</t>
        </is>
      </c>
      <c r="F103" s="14" t="inlineStr">
        <is>
          <t>参半黑巧棒牙刷（单支装 ）代言人</t>
        </is>
      </c>
      <c r="G103" s="15" t="n">
        <v>96</v>
      </c>
      <c r="H103" s="17" t="n">
        <v>1612.8</v>
      </c>
      <c r="I103" s="14" t="inlineStr">
        <is>
          <t>支持合同客户和活动期内的总体销售；不能证明单店陈列。</t>
        </is>
      </c>
    </row>
    <row r="104" outlineLevel="1" ht="36" customHeight="1">
      <c r="A104" s="14" t="n">
        <v>22</v>
      </c>
      <c r="B104" s="14" t="inlineStr">
        <is>
          <t>东莞市诚成行供应链管理有限公司</t>
        </is>
      </c>
      <c r="C104" s="14" t="inlineStr">
        <is>
          <t>2026-04-01 至 2026-04-30</t>
        </is>
      </c>
      <c r="D104" s="14" t="inlineStr">
        <is>
          <t>020260006</t>
        </is>
      </c>
      <c r="E104" s="14" t="inlineStr">
        <is>
          <t>6970356164395</t>
        </is>
      </c>
      <c r="F104" s="14" t="inlineStr">
        <is>
          <t>参半极光白酵素超值装牙膏(极光白160g+龙井100g)</t>
        </is>
      </c>
      <c r="G104" s="15" t="n">
        <v>182</v>
      </c>
      <c r="H104" s="17" t="n">
        <v>4695.6</v>
      </c>
      <c r="I104" s="14" t="inlineStr">
        <is>
          <t>支持合同客户和活动期内的总体销售；不能证明单店陈列。</t>
        </is>
      </c>
    </row>
    <row r="105" outlineLevel="1" ht="36" customHeight="1">
      <c r="A105" s="14" t="n">
        <v>23</v>
      </c>
      <c r="B105" s="14" t="inlineStr">
        <is>
          <t>东莞市诚成行供应链管理有限公司</t>
        </is>
      </c>
      <c r="C105" s="14" t="inlineStr">
        <is>
          <t>2026-04-01 至 2026-04-30</t>
        </is>
      </c>
      <c r="D105" s="14" t="inlineStr">
        <is>
          <t>020260016</t>
        </is>
      </c>
      <c r="E105" s="14" t="inlineStr">
        <is>
          <t>6970356167853</t>
        </is>
      </c>
      <c r="F105" s="14" t="inlineStr">
        <is>
          <t>参半可护愈创木香味牙膏160g</t>
        </is>
      </c>
      <c r="G105" s="15" t="n">
        <v>169</v>
      </c>
      <c r="H105" s="17" t="n">
        <v>5053.1</v>
      </c>
      <c r="I105" s="14" t="inlineStr">
        <is>
          <t>支持合同客户和活动期内的总体销售；不能证明单店陈列。</t>
        </is>
      </c>
    </row>
    <row r="106" outlineLevel="1" ht="36" customHeight="1">
      <c r="A106" s="14" t="n">
        <v>24</v>
      </c>
      <c r="B106" s="14" t="inlineStr">
        <is>
          <t>东莞市诚成行供应链管理有限公司</t>
        </is>
      </c>
      <c r="C106" s="14" t="inlineStr">
        <is>
          <t>2026-04-01 至 2026-04-30</t>
        </is>
      </c>
      <c r="D106" s="14" t="inlineStr">
        <is>
          <t>020260018</t>
        </is>
      </c>
      <c r="E106" s="14" t="inlineStr">
        <is>
          <t>6970356167839</t>
        </is>
      </c>
      <c r="F106" s="14" t="inlineStr">
        <is>
          <t>参半可清火绒草香味牙膏100g</t>
        </is>
      </c>
      <c r="G106" s="15" t="n">
        <v>53</v>
      </c>
      <c r="H106" s="17" t="n">
        <v>2114.7</v>
      </c>
      <c r="I106" s="14" t="inlineStr">
        <is>
          <t>支持合同客户和活动期内的总体销售；不能证明单店陈列。</t>
        </is>
      </c>
    </row>
    <row r="107" outlineLevel="1" ht="36" customHeight="1">
      <c r="A107" s="14" t="n">
        <v>25</v>
      </c>
      <c r="B107" s="14" t="inlineStr">
        <is>
          <t>东莞市诚成行供应链管理有限公司</t>
        </is>
      </c>
      <c r="C107" s="14" t="inlineStr">
        <is>
          <t>2026-04-01 至 2026-04-30</t>
        </is>
      </c>
      <c r="D107" s="14" t="inlineStr">
        <is>
          <t>020260046</t>
        </is>
      </c>
      <c r="E107" s="14" t="inlineStr">
        <is>
          <t>6970356169338</t>
        </is>
      </c>
      <c r="F107" s="14" t="inlineStr">
        <is>
          <t>参半可益白牙膏葡萄知梨120g</t>
        </is>
      </c>
      <c r="G107" s="15" t="n">
        <v>75</v>
      </c>
      <c r="H107" s="17" t="n">
        <v>2242.5</v>
      </c>
      <c r="I107" s="14" t="inlineStr">
        <is>
          <t>支持合同客户和活动期内的总体销售；不能证明单店陈列。</t>
        </is>
      </c>
    </row>
    <row r="108" outlineLevel="1" ht="36" customHeight="1">
      <c r="A108" s="14" t="n">
        <v>26</v>
      </c>
      <c r="B108" s="14" t="inlineStr">
        <is>
          <t>东莞市诚成行供应链管理有限公司</t>
        </is>
      </c>
      <c r="C108" s="14" t="inlineStr">
        <is>
          <t>2026-04-01 至 2026-04-30</t>
        </is>
      </c>
      <c r="D108" s="14" t="inlineStr">
        <is>
          <t>020260035</t>
        </is>
      </c>
      <c r="E108" s="14" t="inlineStr">
        <is>
          <t>6970356169321</t>
        </is>
      </c>
      <c r="F108" s="14" t="inlineStr">
        <is>
          <t>参半可益清牙膏葡见茶爽120g</t>
        </is>
      </c>
      <c r="G108" s="15" t="n">
        <v>950</v>
      </c>
      <c r="H108" s="17" t="n">
        <v>23655</v>
      </c>
      <c r="I108" s="14" t="inlineStr">
        <is>
          <t>支持合同客户和活动期内的总体销售；不能证明单店陈列。</t>
        </is>
      </c>
    </row>
    <row r="109" outlineLevel="1" ht="36" customHeight="1">
      <c r="A109" s="14" t="n">
        <v>27</v>
      </c>
      <c r="B109" s="14" t="inlineStr">
        <is>
          <t>东莞市诚成行供应链管理有限公司</t>
        </is>
      </c>
      <c r="C109" s="14" t="inlineStr">
        <is>
          <t>2026-04-01 至 2026-04-30</t>
        </is>
      </c>
      <c r="D109" s="14" t="inlineStr">
        <is>
          <t>030160003</t>
        </is>
      </c>
      <c r="E109" s="14" t="inlineStr">
        <is>
          <t>6970356165095</t>
        </is>
      </c>
      <c r="F109" s="14" t="inlineStr">
        <is>
          <t>参半宽头绵云牙刷双支装</t>
        </is>
      </c>
      <c r="G109" s="15" t="n">
        <v>262</v>
      </c>
      <c r="H109" s="17" t="n">
        <v>5213.8</v>
      </c>
      <c r="I109" s="14" t="inlineStr">
        <is>
          <t>支持合同客户和活动期内的总体销售；不能证明单店陈列。</t>
        </is>
      </c>
    </row>
    <row r="110" outlineLevel="1" ht="36" customHeight="1">
      <c r="A110" s="14" t="n">
        <v>28</v>
      </c>
      <c r="B110" s="14" t="inlineStr">
        <is>
          <t>东莞市诚成行供应链管理有限公司</t>
        </is>
      </c>
      <c r="C110" s="14" t="inlineStr">
        <is>
          <t>2026-04-01 至 2026-04-30</t>
        </is>
      </c>
      <c r="D110" s="14" t="inlineStr">
        <is>
          <t>020260024</t>
        </is>
      </c>
      <c r="E110" s="14" t="inlineStr">
        <is>
          <t>6970356162919</t>
        </is>
      </c>
      <c r="F110" s="14" t="inlineStr">
        <is>
          <t>参半零度清新牙膏120g</t>
        </is>
      </c>
      <c r="G110" s="15" t="n">
        <v>86</v>
      </c>
      <c r="H110" s="17" t="n">
        <v>2915.4</v>
      </c>
      <c r="I110" s="14" t="inlineStr">
        <is>
          <t>支持合同客户和活动期内的总体销售；不能证明单店陈列。</t>
        </is>
      </c>
    </row>
    <row r="111" outlineLevel="1" ht="36" customHeight="1">
      <c r="A111" s="14" t="n">
        <v>29</v>
      </c>
      <c r="B111" s="14" t="inlineStr">
        <is>
          <t>东莞市诚成行供应链管理有限公司</t>
        </is>
      </c>
      <c r="C111" s="14" t="inlineStr">
        <is>
          <t>2026-04-01 至 2026-04-30</t>
        </is>
      </c>
      <c r="D111" s="14" t="inlineStr">
        <is>
          <t>030160012</t>
        </is>
      </c>
      <c r="E111" s="14" t="inlineStr">
        <is>
          <t>6970356160496</t>
        </is>
      </c>
      <c r="F111" s="14" t="inlineStr">
        <is>
          <t>参半梦幻绒感牙刷 双支装</t>
        </is>
      </c>
      <c r="G111" s="15" t="n">
        <v>77</v>
      </c>
      <c r="H111" s="17" t="n">
        <v>1216.6</v>
      </c>
      <c r="I111" s="14" t="inlineStr">
        <is>
          <t>支持合同客户和活动期内的总体销售；不能证明单店陈列。</t>
        </is>
      </c>
    </row>
    <row r="112" outlineLevel="1" ht="36" customHeight="1">
      <c r="A112" s="14" t="n">
        <v>30</v>
      </c>
      <c r="B112" s="14" t="inlineStr">
        <is>
          <t>东莞市诚成行供应链管理有限公司</t>
        </is>
      </c>
      <c r="C112" s="14" t="inlineStr">
        <is>
          <t>2026-04-01 至 2026-04-30</t>
        </is>
      </c>
      <c r="D112" s="14" t="inlineStr">
        <is>
          <t>030160002</t>
        </is>
      </c>
      <c r="E112" s="14" t="inlineStr">
        <is>
          <t>6970356165156</t>
        </is>
      </c>
      <c r="F112" s="14" t="inlineStr">
        <is>
          <t>参半绒感净护牙刷双支装</t>
        </is>
      </c>
      <c r="G112" s="15" t="n">
        <v>50</v>
      </c>
      <c r="H112" s="17" t="n">
        <v>995</v>
      </c>
      <c r="I112" s="14" t="inlineStr">
        <is>
          <t>支持合同客户和活动期内的总体销售；不能证明单店陈列。</t>
        </is>
      </c>
    </row>
    <row r="113" outlineLevel="1" ht="36" customHeight="1">
      <c r="A113" s="14" t="n">
        <v>31</v>
      </c>
      <c r="B113" s="14" t="inlineStr">
        <is>
          <t>东莞市诚成行供应链管理有限公司</t>
        </is>
      </c>
      <c r="C113" s="14" t="inlineStr">
        <is>
          <t>2026-04-01 至 2026-04-30</t>
        </is>
      </c>
      <c r="D113" s="14" t="inlineStr">
        <is>
          <t>030160001</t>
        </is>
      </c>
      <c r="E113" s="14" t="inlineStr">
        <is>
          <t>6970356166429</t>
        </is>
      </c>
      <c r="F113" s="14" t="inlineStr">
        <is>
          <t>参半星星魔法棒牙刷单支装</t>
        </is>
      </c>
      <c r="G113" s="15" t="n">
        <v>43</v>
      </c>
      <c r="H113" s="17" t="n">
        <v>855.7</v>
      </c>
      <c r="I113" s="14" t="inlineStr">
        <is>
          <t>支持合同客户和活动期内的总体销售；不能证明单店陈列。</t>
        </is>
      </c>
    </row>
    <row r="114" outlineLevel="1" ht="36" customHeight="1">
      <c r="A114" s="14" t="n">
        <v>32</v>
      </c>
      <c r="B114" s="14" t="inlineStr">
        <is>
          <t>东莞市诚成行供应链管理有限公司</t>
        </is>
      </c>
      <c r="C114" s="14" t="inlineStr">
        <is>
          <t>2026-04-01 至 2026-04-30</t>
        </is>
      </c>
      <c r="D114" s="14" t="inlineStr">
        <is>
          <t>030160010</t>
        </is>
      </c>
      <c r="E114" s="14" t="inlineStr">
        <is>
          <t>6970356160366</t>
        </is>
      </c>
      <c r="F114" s="14" t="inlineStr">
        <is>
          <t>参半旋风净白牙刷 双支装</t>
        </is>
      </c>
      <c r="G114" s="15" t="n">
        <v>89</v>
      </c>
      <c r="H114" s="17" t="n">
        <v>1228.2</v>
      </c>
      <c r="I114" s="14" t="inlineStr">
        <is>
          <t>支持合同客户和活动期内的总体销售；不能证明单店陈列。</t>
        </is>
      </c>
    </row>
    <row r="115" outlineLevel="1" ht="36" customHeight="1">
      <c r="A115" s="14" t="n">
        <v>33</v>
      </c>
      <c r="B115" s="14" t="inlineStr">
        <is>
          <t>东莞市诚成行供应链管理有限公司</t>
        </is>
      </c>
      <c r="C115" s="14" t="inlineStr">
        <is>
          <t>2026-04-01 至 2026-04-30</t>
        </is>
      </c>
      <c r="D115" s="14" t="inlineStr">
        <is>
          <t>020260002</t>
        </is>
      </c>
      <c r="E115" s="14" t="inlineStr">
        <is>
          <t>6970356165453</t>
        </is>
      </c>
      <c r="F115" s="14" t="inlineStr">
        <is>
          <t>参半益生菌漱口水-海洋薄荷250ml</t>
        </is>
      </c>
      <c r="G115" s="15" t="n">
        <v>23</v>
      </c>
      <c r="H115" s="17" t="n">
        <v>457.7</v>
      </c>
      <c r="I115" s="14" t="inlineStr">
        <is>
          <t>支持合同客户和活动期内的总体销售；不能证明单店陈列。</t>
        </is>
      </c>
    </row>
    <row r="116" outlineLevel="1" ht="36" customHeight="1">
      <c r="A116" s="14" t="n">
        <v>34</v>
      </c>
      <c r="B116" s="14" t="inlineStr">
        <is>
          <t>东莞市诚成行供应链管理有限公司</t>
        </is>
      </c>
      <c r="C116" s="14" t="inlineStr">
        <is>
          <t>2026-04-01 至 2026-04-30</t>
        </is>
      </c>
      <c r="D116" s="14" t="inlineStr">
        <is>
          <t>020260001</t>
        </is>
      </c>
      <c r="E116" s="14" t="inlineStr">
        <is>
          <t>6970356164548</t>
        </is>
      </c>
      <c r="F116" s="14" t="inlineStr">
        <is>
          <t>参半益生菌漱口水-阳光西柚250ml</t>
        </is>
      </c>
      <c r="G116" s="15" t="n">
        <v>41</v>
      </c>
      <c r="H116" s="17" t="n">
        <v>487.9</v>
      </c>
      <c r="I116" s="14" t="inlineStr">
        <is>
          <t>支持合同客户和活动期内的总体销售；不能证明单店陈列。</t>
        </is>
      </c>
    </row>
    <row r="117" outlineLevel="1" ht="36" customHeight="1">
      <c r="A117" s="14" t="n">
        <v>35</v>
      </c>
      <c r="B117" s="14" t="inlineStr">
        <is>
          <t>东莞市诚成行供应链管理有限公司</t>
        </is>
      </c>
      <c r="C117" s="14" t="inlineStr">
        <is>
          <t>2026-04-01 至 2026-04-30</t>
        </is>
      </c>
      <c r="D117" s="14" t="inlineStr">
        <is>
          <t>030160011</t>
        </is>
      </c>
      <c r="E117" s="14" t="inlineStr">
        <is>
          <t>6970356161721</t>
        </is>
      </c>
      <c r="F117" s="14" t="inlineStr">
        <is>
          <t>参半羽感宽护牙刷 双支装</t>
        </is>
      </c>
      <c r="G117" s="15" t="n">
        <v>43</v>
      </c>
      <c r="H117" s="17" t="n">
        <v>593.4</v>
      </c>
      <c r="I117" s="14" t="inlineStr">
        <is>
          <t>支持合同客户和活动期内的总体销售；不能证明单店陈列。</t>
        </is>
      </c>
    </row>
    <row r="118" outlineLevel="1" ht="36" customHeight="1">
      <c r="A118" s="14" t="n">
        <v>36</v>
      </c>
      <c r="B118" s="14" t="inlineStr">
        <is>
          <t>东莞市诚成行供应链管理有限公司</t>
        </is>
      </c>
      <c r="C118" s="14" t="inlineStr">
        <is>
          <t>2026-04-01 至 2026-04-30</t>
        </is>
      </c>
      <c r="D118" s="14" t="inlineStr">
        <is>
          <t>020260017</t>
        </is>
      </c>
      <c r="E118" s="14" t="inlineStr">
        <is>
          <t>6970356167846</t>
        </is>
      </c>
      <c r="F118" s="14" t="inlineStr">
        <is>
          <t>参半植清尤加利香味牙膏180g</t>
        </is>
      </c>
      <c r="G118" s="15" t="n">
        <v>149</v>
      </c>
      <c r="H118" s="17" t="n">
        <v>4842.5</v>
      </c>
      <c r="I118" s="14" t="inlineStr">
        <is>
          <t>支持合同客户和活动期内的总体销售；不能证明单店陈列。</t>
        </is>
      </c>
    </row>
    <row r="119" outlineLevel="1" ht="36" customHeight="1">
      <c r="A119" s="14" t="n">
        <v>37</v>
      </c>
      <c r="B119" s="14" t="inlineStr">
        <is>
          <t>东莞市诚成行供应链管理有限公司</t>
        </is>
      </c>
      <c r="C119" s="14" t="inlineStr">
        <is>
          <t>2026-04-01 至 2026-04-30</t>
        </is>
      </c>
      <c r="D119" s="14" t="inlineStr">
        <is>
          <t>020260025</t>
        </is>
      </c>
      <c r="E119" s="14" t="inlineStr">
        <is>
          <t>6970356162636</t>
        </is>
      </c>
      <c r="F119" s="14" t="inlineStr">
        <is>
          <t>参半专研清新美白牙膏100g</t>
        </is>
      </c>
      <c r="G119" s="15" t="n">
        <v>311</v>
      </c>
      <c r="H119" s="17" t="n">
        <v>12408.9</v>
      </c>
      <c r="I119" s="14" t="inlineStr">
        <is>
          <t>支持合同客户和活动期内的总体销售；不能证明单店陈列。</t>
        </is>
      </c>
    </row>
    <row r="120">
      <c r="A120" s="21" t="inlineStr">
        <is>
          <t>合计</t>
        </is>
      </c>
      <c r="B120" s="21" t="n"/>
      <c r="C120" s="21" t="n"/>
      <c r="D120" s="21" t="n"/>
      <c r="E120" s="21" t="n"/>
      <c r="F120" s="21" t="n"/>
      <c r="G120" s="22">
        <f>SUM(G84:G119)</f>
        <v/>
      </c>
      <c r="H120" s="22">
        <f>SUM(H84:H119)</f>
        <v/>
      </c>
      <c r="I120" s="21" t="n"/>
    </row>
    <row r="122" ht="24" customHeight="1">
      <c r="A122" s="11" t="inlineStr">
        <is>
          <t>五、21张照片文件哈希与原始元数据</t>
        </is>
      </c>
    </row>
    <row r="123" ht="42" customHeight="1">
      <c r="A123" s="12" t="inlineStr">
        <is>
          <t>技术检查用于发现完全重复、近似重复和元数据缺口；本包内未重复不等于历史活动从未复用。</t>
        </is>
      </c>
    </row>
    <row r="124" ht="30" customHeight="1">
      <c r="A124" s="13" t="inlineStr">
        <is>
          <t>文件名</t>
        </is>
      </c>
      <c r="B124" s="13" t="inlineStr">
        <is>
          <t>尺寸</t>
        </is>
      </c>
      <c r="C124" s="13" t="inlineStr">
        <is>
          <t>文件大小</t>
        </is>
      </c>
      <c r="D124" s="13" t="inlineStr">
        <is>
          <t>SHA-256</t>
        </is>
      </c>
      <c r="E124" s="13" t="inlineStr">
        <is>
          <t>pHash</t>
        </is>
      </c>
      <c r="F124" s="13" t="inlineStr">
        <is>
          <t>dHash</t>
        </is>
      </c>
      <c r="G124" s="13" t="inlineStr">
        <is>
          <t>EXIF时间</t>
        </is>
      </c>
      <c r="H124" s="13" t="inlineStr">
        <is>
          <t>GPS</t>
        </is>
      </c>
      <c r="I124" s="13" t="inlineStr">
        <is>
          <t>绑定合同门店</t>
        </is>
      </c>
      <c r="J124" s="13" t="inlineStr">
        <is>
          <t>状态</t>
        </is>
      </c>
    </row>
    <row r="125" outlineLevel="1" ht="66" customHeight="1">
      <c r="A125" s="14" t="inlineStr">
        <is>
          <t>1.厚街汉邦66广场家家欣.jpg</t>
        </is>
      </c>
      <c r="B125" s="14" t="inlineStr">
        <is>
          <t>1279×1706</t>
        </is>
      </c>
      <c r="C125" s="15" t="n">
        <v>491884</v>
      </c>
      <c r="D125" s="14" t="inlineStr">
        <is>
          <t>2bc5b681403c0d0e05ba6394449fd73b18e211370dbdfc3b1e3166678fb33aad</t>
        </is>
      </c>
      <c r="E125" s="14" t="inlineStr">
        <is>
          <t>bc40623f5dbacec0</t>
        </is>
      </c>
      <c r="F125" s="14" t="inlineStr">
        <is>
          <t>d00713d3935a4615</t>
        </is>
      </c>
      <c r="G125" s="14" t="n"/>
      <c r="H125" s="14" t="inlineStr">
        <is>
          <t>无</t>
        </is>
      </c>
      <c r="I125" s="14" t="inlineStr">
        <is>
          <t>66广场家家欣</t>
        </is>
      </c>
      <c r="J125" s="14" t="inlineStr">
        <is>
          <t>已绑定</t>
        </is>
      </c>
    </row>
    <row r="126" outlineLevel="1" ht="66" customHeight="1">
      <c r="A126" s="14" t="inlineStr">
        <is>
          <t>10-1挺拇指生活超市(横沥店).jpg</t>
        </is>
      </c>
      <c r="B126" s="14" t="inlineStr">
        <is>
          <t>1279×1706</t>
        </is>
      </c>
      <c r="C126" s="15" t="n">
        <v>767287</v>
      </c>
      <c r="D126" s="14" t="inlineStr">
        <is>
          <t>f12dd735b31b0e3be209767b443a5dde76af047139821839e1c380befa2f17ba</t>
        </is>
      </c>
      <c r="E126" s="14" t="inlineStr">
        <is>
          <t>db04a4716159b5bd</t>
        </is>
      </c>
      <c r="F126" s="14" t="inlineStr">
        <is>
          <t>6f67e7f77db14996</t>
        </is>
      </c>
      <c r="G126" s="14" t="n"/>
      <c r="H126" s="14" t="inlineStr">
        <is>
          <t>无</t>
        </is>
      </c>
      <c r="I126" s="14" t="inlineStr">
        <is>
          <t>挺拇指生活超市（横沥店）</t>
        </is>
      </c>
      <c r="J126" s="14" t="inlineStr">
        <is>
          <t>已绑定</t>
        </is>
      </c>
    </row>
    <row r="127" outlineLevel="1" ht="66" customHeight="1">
      <c r="A127" s="14" t="inlineStr">
        <is>
          <t>10-2挺拇指生活超市(横沥店).jpg</t>
        </is>
      </c>
      <c r="B127" s="14" t="inlineStr">
        <is>
          <t>1279×1706</t>
        </is>
      </c>
      <c r="C127" s="15" t="n">
        <v>872772</v>
      </c>
      <c r="D127" s="14" t="inlineStr">
        <is>
          <t>1d4f8b92c71131ea2dbe09e06cff7496a82afca0ba4d7fced7ab272948670884</t>
        </is>
      </c>
      <c r="E127" s="14" t="inlineStr">
        <is>
          <t>8ad1fd2beb28f404</t>
        </is>
      </c>
      <c r="F127" s="14" t="inlineStr">
        <is>
          <t>2b295955d4c6f43d</t>
        </is>
      </c>
      <c r="G127" s="14" t="n"/>
      <c r="H127" s="14" t="inlineStr">
        <is>
          <t>无</t>
        </is>
      </c>
      <c r="I127" s="14" t="inlineStr">
        <is>
          <t>挺拇指生活超市（横沥店）</t>
        </is>
      </c>
      <c r="J127" s="14" t="inlineStr">
        <is>
          <t>已绑定</t>
        </is>
      </c>
    </row>
    <row r="128" outlineLevel="1" ht="66" customHeight="1">
      <c r="A128" s="14" t="inlineStr">
        <is>
          <t>11.人人购物荟和超市.jpg</t>
        </is>
      </c>
      <c r="B128" s="14" t="inlineStr">
        <is>
          <t>4525×4496</t>
        </is>
      </c>
      <c r="C128" s="15" t="n">
        <v>3431541</v>
      </c>
      <c r="D128" s="14" t="inlineStr">
        <is>
          <t>7cf34a44ba05a348179771b0c36be20c19f6a0a76fb0c72fc6742c1070011f87</t>
        </is>
      </c>
      <c r="E128" s="14" t="inlineStr">
        <is>
          <t>df42b870745ec23c</t>
        </is>
      </c>
      <c r="F128" s="14" t="inlineStr">
        <is>
          <t>93939994d070786d</t>
        </is>
      </c>
      <c r="G128" s="14" t="n"/>
      <c r="H128" s="14" t="inlineStr">
        <is>
          <t>无</t>
        </is>
      </c>
      <c r="I128" s="14" t="inlineStr">
        <is>
          <t>人人购物广场荟和二店</t>
        </is>
      </c>
      <c r="J128" s="14" t="inlineStr">
        <is>
          <t>已绑定</t>
        </is>
      </c>
    </row>
    <row r="129" outlineLevel="1" ht="66" customHeight="1">
      <c r="A129" s="14" t="inlineStr">
        <is>
          <t>12.三乐购物广场(森扬商业广场店).jpg</t>
        </is>
      </c>
      <c r="B129" s="14" t="inlineStr">
        <is>
          <t>3028×4032</t>
        </is>
      </c>
      <c r="C129" s="15" t="n">
        <v>2609173</v>
      </c>
      <c r="D129" s="14" t="inlineStr">
        <is>
          <t>817e1b01120475a5f72ab39bce2334a3f0c5d2d7c66d02b0d02e648e70bca0e9</t>
        </is>
      </c>
      <c r="E129" s="14" t="inlineStr">
        <is>
          <t>854b6c27e570735c</t>
        </is>
      </c>
      <c r="F129" s="14" t="inlineStr">
        <is>
          <t>92b254949870783c</t>
        </is>
      </c>
      <c r="G129" s="14" t="n"/>
      <c r="H129" s="14" t="inlineStr">
        <is>
          <t>无</t>
        </is>
      </c>
      <c r="I129" s="14" t="inlineStr">
        <is>
          <t>三乐购物广场（森扬商业广场店）</t>
        </is>
      </c>
      <c r="J129" s="14" t="inlineStr">
        <is>
          <t>已绑定</t>
        </is>
      </c>
    </row>
    <row r="130" outlineLevel="1" ht="66" customHeight="1">
      <c r="A130" s="14" t="inlineStr">
        <is>
          <t>13.沙井九龙.jpg</t>
        </is>
      </c>
      <c r="B130" s="14" t="inlineStr">
        <is>
          <t>4000×3003</t>
        </is>
      </c>
      <c r="C130" s="15" t="n">
        <v>2762473</v>
      </c>
      <c r="D130" s="14" t="inlineStr">
        <is>
          <t>bea6157436ef7f0a45babca793b9fc67e06ac2beacd1b9eae36c44097b0e3888</t>
        </is>
      </c>
      <c r="E130" s="14" t="inlineStr">
        <is>
          <t>8ef4e07ec22cd664</t>
        </is>
      </c>
      <c r="F130" s="14" t="inlineStr">
        <is>
          <t>f031717971facaca</t>
        </is>
      </c>
      <c r="G130" s="14" t="n"/>
      <c r="H130" s="14" t="inlineStr">
        <is>
          <t>无</t>
        </is>
      </c>
      <c r="I130" s="14" t="inlineStr">
        <is>
          <t>沙井九龙</t>
        </is>
      </c>
      <c r="J130" s="14" t="inlineStr">
        <is>
          <t>已绑定</t>
        </is>
      </c>
    </row>
    <row r="131" outlineLevel="1" ht="66" customHeight="1">
      <c r="A131" s="14" t="inlineStr">
        <is>
          <t>14.润家连锁超市(美联购物中心店).jpg</t>
        </is>
      </c>
      <c r="B131" s="14" t="inlineStr">
        <is>
          <t>1280×1706</t>
        </is>
      </c>
      <c r="C131" s="15" t="n">
        <v>501429</v>
      </c>
      <c r="D131" s="14" t="inlineStr">
        <is>
          <t>0589b66788746499b68c9813b97ef042c2d1a239cd70be63056d57f4a9587fe5</t>
        </is>
      </c>
      <c r="E131" s="14" t="inlineStr">
        <is>
          <t>aecc9d1341633373</t>
        </is>
      </c>
      <c r="F131" s="14" t="inlineStr">
        <is>
          <t>5959455c59571389</t>
        </is>
      </c>
      <c r="G131" s="14" t="n"/>
      <c r="H131" s="14" t="inlineStr">
        <is>
          <t>无</t>
        </is>
      </c>
      <c r="I131" s="14" t="inlineStr">
        <is>
          <t>润家连锁超市（美联购物中心店）</t>
        </is>
      </c>
      <c r="J131" s="14" t="inlineStr">
        <is>
          <t>已绑定</t>
        </is>
      </c>
    </row>
    <row r="132" outlineLevel="1" ht="66" customHeight="1">
      <c r="A132" s="14" t="inlineStr">
        <is>
          <t>15。石岩百佳华.jpg</t>
        </is>
      </c>
      <c r="B132" s="14" t="inlineStr">
        <is>
          <t>1279×1706</t>
        </is>
      </c>
      <c r="C132" s="15" t="n">
        <v>501947</v>
      </c>
      <c r="D132" s="14" t="inlineStr">
        <is>
          <t>9845f5c8c808e139ae93bf4a163372cf5e54e7aeb39a8dfbfa1d0aa47e5dfca8</t>
        </is>
      </c>
      <c r="E132" s="14" t="inlineStr">
        <is>
          <t>d142a7f456b03e2b</t>
        </is>
      </c>
      <c r="F132" s="14" t="inlineStr">
        <is>
          <t>8186e2f0f070e4ee</t>
        </is>
      </c>
      <c r="G132" s="14" t="n"/>
      <c r="H132" s="14" t="inlineStr">
        <is>
          <t>无</t>
        </is>
      </c>
      <c r="I132" s="14" t="inlineStr">
        <is>
          <t>百佳华（石岩店）</t>
        </is>
      </c>
      <c r="J132" s="14" t="inlineStr">
        <is>
          <t>已绑定</t>
        </is>
      </c>
    </row>
    <row r="133" outlineLevel="1" ht="66" customHeight="1">
      <c r="A133" s="14" t="inlineStr">
        <is>
          <t>16.田心金正和.jpg</t>
        </is>
      </c>
      <c r="B133" s="14" t="inlineStr">
        <is>
          <t>1279×1706</t>
        </is>
      </c>
      <c r="C133" s="15" t="n">
        <v>762202</v>
      </c>
      <c r="D133" s="14" t="inlineStr">
        <is>
          <t>f00f97dc46a52568db5b292f7edb26bedfbc0d6f786e746acea6a56940a7c500</t>
        </is>
      </c>
      <c r="E133" s="14" t="inlineStr">
        <is>
          <t>eb89b563d205b296</t>
        </is>
      </c>
      <c r="F133" s="14" t="inlineStr">
        <is>
          <t>cf892d6f5927b134</t>
        </is>
      </c>
      <c r="G133" s="14" t="n"/>
      <c r="H133" s="14" t="inlineStr">
        <is>
          <t>无</t>
        </is>
      </c>
      <c r="I133" s="14" t="inlineStr">
        <is>
          <t>田心金正和</t>
        </is>
      </c>
      <c r="J133" s="14" t="inlineStr">
        <is>
          <t>已绑定</t>
        </is>
      </c>
    </row>
    <row r="134" outlineLevel="1" ht="66" customHeight="1">
      <c r="A134" s="14" t="inlineStr">
        <is>
          <t>17·荟和超市(莹展荟店).jpg</t>
        </is>
      </c>
      <c r="B134" s="14" t="inlineStr">
        <is>
          <t>1080×1920</t>
        </is>
      </c>
      <c r="C134" s="15" t="n">
        <v>420260</v>
      </c>
      <c r="D134" s="14" t="inlineStr">
        <is>
          <t>c6a9ac8b3b620adf996334ec432e725c45b4e302c481354caa4959a97c6f1ef1</t>
        </is>
      </c>
      <c r="E134" s="14" t="inlineStr">
        <is>
          <t>c0357e5c8cec3574</t>
        </is>
      </c>
      <c r="F134" s="14" t="inlineStr">
        <is>
          <t>0c32f4f0389eecaa</t>
        </is>
      </c>
      <c r="G134" s="14" t="n"/>
      <c r="H134" s="14" t="inlineStr">
        <is>
          <t>无</t>
        </is>
      </c>
      <c r="I134" s="14" t="inlineStr">
        <is>
          <t>荟和超市（莹展荟店）</t>
        </is>
      </c>
      <c r="J134" s="14" t="inlineStr">
        <is>
          <t>已绑定</t>
        </is>
      </c>
    </row>
    <row r="135" outlineLevel="1" ht="66" customHeight="1">
      <c r="A135" s="14" t="inlineStr">
        <is>
          <t>18.三乐购物广场(坦洲店).jpg</t>
        </is>
      </c>
      <c r="B135" s="14" t="inlineStr">
        <is>
          <t>1281×1706</t>
        </is>
      </c>
      <c r="C135" s="15" t="n">
        <v>511770</v>
      </c>
      <c r="D135" s="14" t="inlineStr">
        <is>
          <t>61f0c8113bfbfafd9cc02a2ae69881cb8cc456e911c32c78ba618ab3467153fe</t>
        </is>
      </c>
      <c r="E135" s="14" t="inlineStr">
        <is>
          <t>ff181159c160e0ff</t>
        </is>
      </c>
      <c r="F135" s="14" t="inlineStr">
        <is>
          <t>a3eb23bb1f3b61e7</t>
        </is>
      </c>
      <c r="G135" s="14" t="n"/>
      <c r="H135" s="14" t="inlineStr">
        <is>
          <t>无</t>
        </is>
      </c>
      <c r="I135" s="14" t="inlineStr">
        <is>
          <t>三乐购物广场（坦洲店）</t>
        </is>
      </c>
      <c r="J135" s="14" t="inlineStr">
        <is>
          <t>已绑定</t>
        </is>
      </c>
    </row>
    <row r="136" outlineLevel="1" ht="66" customHeight="1">
      <c r="A136" s="14" t="inlineStr">
        <is>
          <t>19.福源大康惠.jpg</t>
        </is>
      </c>
      <c r="B136" s="14" t="inlineStr">
        <is>
          <t>1279×1706</t>
        </is>
      </c>
      <c r="C136" s="15" t="n">
        <v>760801</v>
      </c>
      <c r="D136" s="14" t="inlineStr">
        <is>
          <t>a83b7852588f47ff9fc8c43791eab025aa930eb7efa97d4da13cd54024be754c</t>
        </is>
      </c>
      <c r="E136" s="14" t="inlineStr">
        <is>
          <t>944b3b3cb4a64e65</t>
        </is>
      </c>
      <c r="F136" s="14" t="inlineStr">
        <is>
          <t>c38712d6c6f8b683</t>
        </is>
      </c>
      <c r="G136" s="14" t="n"/>
      <c r="H136" s="14" t="inlineStr">
        <is>
          <t>无</t>
        </is>
      </c>
      <c r="I136" s="14" t="inlineStr">
        <is>
          <t>大康惠福源商业广场</t>
        </is>
      </c>
      <c r="J136" s="14" t="inlineStr">
        <is>
          <t>已绑定</t>
        </is>
      </c>
    </row>
    <row r="137" outlineLevel="1" ht="66" customHeight="1">
      <c r="A137" s="14" t="inlineStr">
        <is>
          <t>2.松岗百佳华.jpg</t>
        </is>
      </c>
      <c r="B137" s="14" t="inlineStr">
        <is>
          <t>3024×3759</t>
        </is>
      </c>
      <c r="C137" s="15" t="n">
        <v>2775745</v>
      </c>
      <c r="D137" s="14" t="inlineStr">
        <is>
          <t>12b86e89b2996c4ee22ce55cfa65249237f10c2651963f0a74d6748f6fbdf29f</t>
        </is>
      </c>
      <c r="E137" s="14" t="inlineStr">
        <is>
          <t>d45ed0c3d0cf9847</t>
        </is>
      </c>
      <c r="F137" s="14" t="inlineStr">
        <is>
          <t>e6fcd3fadbd3d3f6</t>
        </is>
      </c>
      <c r="G137" s="14" t="n"/>
      <c r="H137" s="14" t="inlineStr">
        <is>
          <t>无</t>
        </is>
      </c>
      <c r="I137" s="14" t="inlineStr">
        <is>
          <t>百佳华松岗店</t>
        </is>
      </c>
      <c r="J137" s="14" t="inlineStr">
        <is>
          <t>已绑定</t>
        </is>
      </c>
    </row>
    <row r="138" outlineLevel="1" ht="66" customHeight="1">
      <c r="A138" s="14" t="inlineStr">
        <is>
          <t>20.好多宝精选超市(龙眼市场店).jpg</t>
        </is>
      </c>
      <c r="B138" s="14" t="inlineStr">
        <is>
          <t>1200×1600</t>
        </is>
      </c>
      <c r="C138" s="15" t="n">
        <v>380438</v>
      </c>
      <c r="D138" s="14" t="inlineStr">
        <is>
          <t>a2bc6e9f7833a6b2dace149843649c6c2a6b5988e04def5a9bc64d4b2b8740fc</t>
        </is>
      </c>
      <c r="E138" s="14" t="inlineStr">
        <is>
          <t>d58198ddeb4063e3</t>
        </is>
      </c>
      <c r="F138" s="14" t="inlineStr">
        <is>
          <t>dcebad3db48cd0b3</t>
        </is>
      </c>
      <c r="G138" s="14" t="n"/>
      <c r="H138" s="14" t="inlineStr">
        <is>
          <t>无</t>
        </is>
      </c>
      <c r="I138" s="14" t="inlineStr">
        <is>
          <t>好多宝精选超市（龙眼市场店）</t>
        </is>
      </c>
      <c r="J138" s="14" t="inlineStr">
        <is>
          <t>已绑定</t>
        </is>
      </c>
    </row>
    <row r="139" outlineLevel="1" ht="66" customHeight="1">
      <c r="A139" s="14" t="inlineStr">
        <is>
          <t>3.公明百佳华.jpg</t>
        </is>
      </c>
      <c r="B139" s="14" t="inlineStr">
        <is>
          <t>1279×1706</t>
        </is>
      </c>
      <c r="C139" s="15" t="n">
        <v>676711</v>
      </c>
      <c r="D139" s="14" t="inlineStr">
        <is>
          <t>334f7fe95b8f70a59cf89c0e2b65a47ba1a19c70d8b1695a51ecd59bdce07463</t>
        </is>
      </c>
      <c r="E139" s="14" t="inlineStr">
        <is>
          <t>d909f0b55d483c73</t>
        </is>
      </c>
      <c r="F139" s="14" t="inlineStr">
        <is>
          <t>d66f8ba5303236b6</t>
        </is>
      </c>
      <c r="G139" s="14" t="n"/>
      <c r="H139" s="14" t="inlineStr">
        <is>
          <t>无</t>
        </is>
      </c>
      <c r="I139" s="14" t="inlineStr">
        <is>
          <t>百佳华百货（公明店）</t>
        </is>
      </c>
      <c r="J139" s="14" t="inlineStr">
        <is>
          <t>已绑定</t>
        </is>
      </c>
    </row>
    <row r="140" outlineLevel="1" ht="66" customHeight="1">
      <c r="A140" s="14" t="inlineStr">
        <is>
          <t>4.新桥百佳华.jpg</t>
        </is>
      </c>
      <c r="B140" s="14" t="inlineStr">
        <is>
          <t>600×800</t>
        </is>
      </c>
      <c r="C140" s="15" t="n">
        <v>123308</v>
      </c>
      <c r="D140" s="14" t="inlineStr">
        <is>
          <t>df7c36d02303fc3b8df13e63888d0dcfed56860ca91d2a86501f67168d32c3ff</t>
        </is>
      </c>
      <c r="E140" s="14" t="inlineStr">
        <is>
          <t>d21e05732f4ee5c4</t>
        </is>
      </c>
      <c r="F140" s="14" t="inlineStr">
        <is>
          <t>98fe676761d2e2c1</t>
        </is>
      </c>
      <c r="G140" s="14" t="n"/>
      <c r="H140" s="14" t="inlineStr">
        <is>
          <t>无</t>
        </is>
      </c>
      <c r="I140" s="14" t="inlineStr">
        <is>
          <t>百佳华佳漾汇（新桥店）</t>
        </is>
      </c>
      <c r="J140" s="14" t="inlineStr">
        <is>
          <t>已绑定</t>
        </is>
      </c>
    </row>
    <row r="141" outlineLevel="1" ht="66" customHeight="1">
      <c r="A141" s="14" t="inlineStr">
        <is>
          <t>5.华都超市(东坑大道北店).jpg</t>
        </is>
      </c>
      <c r="B141" s="14" t="inlineStr">
        <is>
          <t>1081×1440</t>
        </is>
      </c>
      <c r="C141" s="15" t="n">
        <v>439863</v>
      </c>
      <c r="D141" s="14" t="inlineStr">
        <is>
          <t>61e7f18669fe68e0686638d9bf53e6e488e8ce9ccb78192cdb6647915337dad0</t>
        </is>
      </c>
      <c r="E141" s="14" t="inlineStr">
        <is>
          <t>bb17807f857c84c9</t>
        </is>
      </c>
      <c r="F141" s="14" t="inlineStr">
        <is>
          <t>222b277549a9aded</t>
        </is>
      </c>
      <c r="G141" s="14" t="n"/>
      <c r="H141" s="14" t="inlineStr">
        <is>
          <t>无</t>
        </is>
      </c>
      <c r="I141" s="14" t="inlineStr">
        <is>
          <t>华都超市（东坑大道北店）</t>
        </is>
      </c>
      <c r="J141" s="14" t="inlineStr">
        <is>
          <t>已绑定</t>
        </is>
      </c>
    </row>
    <row r="142" outlineLevel="1" ht="66" customHeight="1">
      <c r="A142" s="14" t="inlineStr">
        <is>
          <t>6.东浦金正和.jpg</t>
        </is>
      </c>
      <c r="B142" s="14" t="inlineStr">
        <is>
          <t>1080×1920</t>
        </is>
      </c>
      <c r="C142" s="15" t="n">
        <v>1084548</v>
      </c>
      <c r="D142" s="14" t="inlineStr">
        <is>
          <t>5443f87d47fe6646e5da357f0e53a41c8934f58255619fe749eae9b7ad9596a0</t>
        </is>
      </c>
      <c r="E142" s="14" t="inlineStr">
        <is>
          <t>dfc1434a3552174f</t>
        </is>
      </c>
      <c r="F142" s="14" t="inlineStr">
        <is>
          <t>13636953d3f07070</t>
        </is>
      </c>
      <c r="G142" s="14" t="n"/>
      <c r="H142" s="14" t="inlineStr">
        <is>
          <t>无</t>
        </is>
      </c>
      <c r="I142" s="14" t="inlineStr">
        <is>
          <t>金大福（东浦金正和总店）</t>
        </is>
      </c>
      <c r="J142" s="14" t="inlineStr">
        <is>
          <t>已绑定</t>
        </is>
      </c>
    </row>
    <row r="143" outlineLevel="1" ht="66" customHeight="1">
      <c r="A143" s="14" t="inlineStr">
        <is>
          <t>7.宝安优城店.jpg</t>
        </is>
      </c>
      <c r="B143" s="14" t="inlineStr">
        <is>
          <t>1081×1440</t>
        </is>
      </c>
      <c r="C143" s="15" t="n">
        <v>434133</v>
      </c>
      <c r="D143" s="14" t="inlineStr">
        <is>
          <t>80ff9c92a5eb1b780e9b0002a5d99c5239d71f592406992133c1e49e77e5834f</t>
        </is>
      </c>
      <c r="E143" s="14" t="inlineStr">
        <is>
          <t>d04ea67a36654e71</t>
        </is>
      </c>
      <c r="F143" s="14" t="inlineStr">
        <is>
          <t>c6866ee6fef8e8e9</t>
        </is>
      </c>
      <c r="G143" s="14" t="n"/>
      <c r="H143" s="14" t="inlineStr">
        <is>
          <t>无</t>
        </is>
      </c>
      <c r="I143" s="14" t="inlineStr">
        <is>
          <t>古原千禧（U·ONE 优城店）</t>
        </is>
      </c>
      <c r="J143" s="14" t="inlineStr">
        <is>
          <t>已绑定</t>
        </is>
      </c>
    </row>
    <row r="144" outlineLevel="1" ht="66" customHeight="1">
      <c r="A144" s="14" t="inlineStr">
        <is>
          <t>8.虎门赤岗家家欣.jpg</t>
        </is>
      </c>
      <c r="B144" s="14" t="inlineStr">
        <is>
          <t>600×800</t>
        </is>
      </c>
      <c r="C144" s="15" t="n">
        <v>129411</v>
      </c>
      <c r="D144" s="14" t="inlineStr">
        <is>
          <t>a397af48c29cc108f54a66ac21d7aec414e79f20838ee3bb2e4851619d1f9e0a</t>
        </is>
      </c>
      <c r="E144" s="14" t="inlineStr">
        <is>
          <t>8d45457f6421a5bd</t>
        </is>
      </c>
      <c r="F144" s="14" t="inlineStr">
        <is>
          <t>1a232703a29cf0b4</t>
        </is>
      </c>
      <c r="G144" s="14" t="n"/>
      <c r="H144" s="14" t="inlineStr">
        <is>
          <t>无</t>
        </is>
      </c>
      <c r="I144" s="14" t="inlineStr">
        <is>
          <t>虎门家家欣</t>
        </is>
      </c>
      <c r="J144" s="14" t="inlineStr">
        <is>
          <t>已绑定</t>
        </is>
      </c>
    </row>
    <row r="145" outlineLevel="1" ht="66" customHeight="1">
      <c r="A145" s="14" t="inlineStr">
        <is>
          <t>9.花都宜多.jpg</t>
        </is>
      </c>
      <c r="B145" s="14" t="inlineStr">
        <is>
          <t>1279×1706</t>
        </is>
      </c>
      <c r="C145" s="15" t="n">
        <v>830839</v>
      </c>
      <c r="D145" s="14" t="inlineStr">
        <is>
          <t>37a3bb4647855bff6147f370f02897142fb739c3b1f015546c9701327ca79c87</t>
        </is>
      </c>
      <c r="E145" s="14" t="inlineStr">
        <is>
          <t>c413a95f3c3c3173</t>
        </is>
      </c>
      <c r="F145" s="14" t="inlineStr">
        <is>
          <t>163bb9fb5aecf8d4</t>
        </is>
      </c>
      <c r="G145" s="14" t="n"/>
      <c r="H145" s="14" t="inlineStr">
        <is>
          <t>无</t>
        </is>
      </c>
      <c r="I145" s="14" t="inlineStr">
        <is>
          <t>花都宜多</t>
        </is>
      </c>
      <c r="J145" s="14" t="inlineStr">
        <is>
          <t>已绑定</t>
        </is>
      </c>
    </row>
    <row r="147" ht="24" customHeight="1">
      <c r="A147" s="11" t="inlineStr">
        <is>
          <t>1.4.1 七项分析维度</t>
        </is>
      </c>
    </row>
    <row r="148" ht="42" customHeight="1">
      <c r="A148" s="12" t="inlineStr">
        <is>
          <t>七个维度分别说明读取证据、实际检查、判定依据和能力边界；没有发票、预算或历史照片库时不会默认判为通过。</t>
        </is>
      </c>
    </row>
    <row r="149" ht="30" customHeight="1">
      <c r="A149" s="13" t="inlineStr">
        <is>
          <t>序号</t>
        </is>
      </c>
      <c r="B149" s="13" t="inlineStr">
        <is>
          <t>分析维度</t>
        </is>
      </c>
      <c r="C149" s="13" t="inlineStr">
        <is>
          <t>检测内容</t>
        </is>
      </c>
      <c r="E149" s="13" t="inlineStr">
        <is>
          <t>1.4.1判定标准</t>
        </is>
      </c>
      <c r="G149" s="13" t="inlineStr">
        <is>
          <t>本次读取文件/证据</t>
        </is>
      </c>
      <c r="I149" s="13" t="inlineStr">
        <is>
          <t>实际执行检查</t>
        </is>
      </c>
      <c r="K149" s="13" t="inlineStr">
        <is>
          <t>状态</t>
        </is>
      </c>
      <c r="L149" s="13" t="inlineStr">
        <is>
          <t>判定依据及能力边界/补证</t>
        </is>
      </c>
    </row>
    <row r="150" ht="108" customHeight="1">
      <c r="A150" s="14" t="inlineStr">
        <is>
          <t>1</t>
        </is>
      </c>
      <c r="B150" s="14" t="inlineStr">
        <is>
          <t>真实性验证</t>
        </is>
      </c>
      <c r="C150" s="14" t="inlineStr">
        <is>
          <t>文件是否被篡改/伪造</t>
        </is>
      </c>
      <c r="E150" s="14" t="inlineStr">
        <is>
          <t>EXIF信息完整性、图像指纹比对、水印一致性、数字签名验证</t>
        </is>
      </c>
      <c r="G150" s="14" t="inlineStr">
        <is>
          <t>诚成4月堆头陈列-经销商签订促销合同.pdf；2026年4月销售明细20260509164207765.xlsx；现场照片21张</t>
        </is>
      </c>
      <c r="I150" s="14" t="inlineStr">
        <is>
          <t>固定源文件SHA-256；对照片计算dHash；读取EXIF、画面日期地点水印，并逐店检查水印与合同门店的一致性。</t>
        </is>
      </c>
      <c r="K150" s="19" t="inlineStr">
        <is>
          <t>部分验证</t>
        </is>
      </c>
      <c r="L150" s="14" t="inlineStr">
        <is>
          <t>判定依据：21张照片中EXIF时间0张、GPS 0张；完全重复组0、pHash近似候选0组。未提供数字签名或像素级篡改鉴定。
能力边界/补证：画面水印是可见线索，不是独立可信定位；哈希不能证明提交前未修改。需原始照片、可信时间/GPS或专业取证。</t>
        </is>
      </c>
    </row>
    <row r="151" ht="108" customHeight="1">
      <c r="A151" s="14" t="inlineStr">
        <is>
          <t>2</t>
        </is>
      </c>
      <c r="B151" s="14" t="inlineStr">
        <is>
          <t>真实性验证</t>
        </is>
      </c>
      <c r="C151" s="14" t="inlineStr">
        <is>
          <t>照片是否为现场实拍</t>
        </is>
      </c>
      <c r="E151" s="14" t="inlineStr">
        <is>
          <t>GPS坐标与申报门店匹配、拍摄时间在活动周期内、设备信息一致</t>
        </is>
      </c>
      <c r="G151" s="14" t="inlineStr">
        <is>
          <t>合同20家门店与21张现场照片</t>
        </is>
      </c>
      <c r="I151" s="14" t="inlineStr">
        <is>
          <t>逐店读取画面可见日期和地点，比较活动期间、合同门店名称/地点及陈列标准；不从文件名推断日期或GPS。</t>
        </is>
      </c>
      <c r="K151" s="19" t="inlineStr">
        <is>
          <t>部分通过</t>
        </is>
      </c>
      <c r="L151" s="14" t="inlineStr">
        <is>
          <t>判定依据：活动期匹配19/20家，门店地点匹配或兼容16/20家，陈列可确认19/20家；综合16/20家通过、4家补证。GPS与设备信息均不可用。
能力边界/补证：6家存在日期、地点或陈列证据缺口；需原始照片、可信定位/时间或正式门店地址映射。</t>
        </is>
      </c>
    </row>
    <row r="152" ht="108" customHeight="1">
      <c r="A152" s="14" t="inlineStr">
        <is>
          <t>3</t>
        </is>
      </c>
      <c r="B152" s="14" t="inlineStr">
        <is>
          <t>真实性验证</t>
        </is>
      </c>
      <c r="C152" s="14" t="inlineStr">
        <is>
          <t>文件是否重复使用</t>
        </is>
      </c>
      <c r="E152" s="14" t="inlineStr">
        <is>
          <t>感知哈希（pHash）去重、跨活动文件复用检测</t>
        </is>
      </c>
      <c r="G152" s="14" t="inlineStr">
        <is>
          <t>现场照片21张</t>
        </is>
      </c>
      <c r="I152" s="14" t="inlineStr">
        <is>
          <t>用SHA-256查完全重复，用dHash筛查视觉相同候选，并检查同一照片是否绑定多个合同门店。</t>
        </is>
      </c>
      <c r="K152" s="19" t="inlineStr">
        <is>
          <t>部分验证</t>
        </is>
      </c>
      <c r="L152" s="14" t="inlineStr">
        <is>
          <t>判定依据：本包完全重复组0、pHash近似候选0组；没有跨活动历史指纹库。
能力边界/补证：“本包未发现重复”不等于“历史活动从未使用”；跨活动复用必须接入历史SHA/pHash库。</t>
        </is>
      </c>
    </row>
    <row r="153" ht="108" customHeight="1">
      <c r="A153" s="14" t="inlineStr">
        <is>
          <t>4</t>
        </is>
      </c>
      <c r="B153" s="14" t="inlineStr">
        <is>
          <t>合规性审查</t>
        </is>
      </c>
      <c r="C153" s="14" t="inlineStr">
        <is>
          <t>文件格式是否符合要求</t>
        </is>
      </c>
      <c r="E153" s="14" t="inlineStr">
        <is>
          <t>文件类型、分辨率、大小是否在允许范围内</t>
        </is>
      </c>
      <c r="G153" s="14" t="inlineStr">
        <is>
          <t>诚成4月堆头陈列-经销商签订促销合同.pdf；2026年4月销售明细20260509164207765.xlsx；现场照片21张</t>
        </is>
      </c>
      <c r="I153" s="14" t="inlineStr">
        <is>
          <t>确认PDF、XLSX、JPG均可打开；记录页数、工作表、照片分辨率和文件大小；ZIP入口执行安全大小限制。</t>
        </is>
      </c>
      <c r="K153" s="19" t="inlineStr">
        <is>
          <t>部分验证</t>
        </is>
      </c>
      <c r="L153" s="14" t="inlineStr">
        <is>
          <t>判定依据：收到23个文件：合同PDF 1份、销售Excel 1份、JPG 21张；照片宽600–4525像素、高800–4496像素，大小123308–3431541字节。业务未提供允许阈值。
能力边界/补证：已证明可读性和实际尺寸，不能在没有最低分辨率/大小标准时宣称完全合规。</t>
        </is>
      </c>
    </row>
    <row r="154" ht="108" customHeight="1">
      <c r="A154" s="14" t="inlineStr">
        <is>
          <t>5</t>
        </is>
      </c>
      <c r="B154" s="14" t="inlineStr">
        <is>
          <t>合规性审查</t>
        </is>
      </c>
      <c r="C154" s="14" t="inlineStr">
        <is>
          <t>费用金额是否合理</t>
        </is>
      </c>
      <c r="E154" s="14" t="inlineStr">
        <is>
          <t>费用明细金额与活动预算比较，偏差超过30%标记异常</t>
        </is>
      </c>
      <c r="G154" s="14" t="inlineStr">
        <is>
          <t>诚成4月堆头陈列-经销商签订促销合同.pdf；申报金额</t>
        </is>
      </c>
      <c r="I154" s="14" t="inlineStr">
        <is>
          <t>以本次唯一可得的合同约定金额作为合同口径，比较申报金额；另按逐店证据计算支持金额。</t>
        </is>
      </c>
      <c r="K154" s="19" t="inlineStr">
        <is>
          <t>部分验证</t>
        </is>
      </c>
      <c r="L154" s="14" t="inlineStr">
        <is>
          <t>判定依据：合同口径20000.00元，申报20000.00元，差额0.00元（0.00%，未超过30%）；但独立活动预算表未提交。逐店证据仅支持16000.00元。
能力边界/补证：合同金额是现有口径，不等同于独立预算验证；若制度要求30%预算规则，需补充批准预算。</t>
        </is>
      </c>
    </row>
    <row r="155" ht="108" customHeight="1">
      <c r="A155" s="14" t="inlineStr">
        <is>
          <t>6</t>
        </is>
      </c>
      <c r="B155" s="14" t="inlineStr">
        <is>
          <t>合规性审查</t>
        </is>
      </c>
      <c r="C155" s="14" t="inlineStr">
        <is>
          <t>票据信息是否完整</t>
        </is>
      </c>
      <c r="E155" s="14" t="inlineStr">
        <is>
          <t>发票代码、号码、金额、日期、购销方信息完整性</t>
        </is>
      </c>
      <c r="G155" s="14" t="inlineStr">
        <is>
          <t>本包未提交发票</t>
        </is>
      </c>
      <c r="I155" s="14" t="inlineStr">
        <is>
          <t>盘点文件类型，未把合同、销售Excel或现场照片误认作发票。</t>
        </is>
      </c>
      <c r="K155" s="23" t="inlineStr">
        <is>
          <t>本案未触发</t>
        </is>
      </c>
      <c r="L155" s="14" t="inlineStr">
        <is>
          <t>判定依据：没有发票代码、号码、金额、日期和购销方字段可检查。
能力边界/补证：如堆头付款制度要求发票，应改判为证据不足并补交发票。</t>
        </is>
      </c>
    </row>
    <row r="156" ht="108" customHeight="1">
      <c r="A156" s="14" t="inlineStr">
        <is>
          <t>7</t>
        </is>
      </c>
      <c r="B156" s="14" t="inlineStr">
        <is>
          <t>合规性审查</t>
        </is>
      </c>
      <c r="C156" s="14" t="inlineStr">
        <is>
          <t>合同条款是否匹配</t>
        </is>
      </c>
      <c r="E156" s="14" t="inlineStr">
        <is>
          <t>合同约定金额不低于发票总额，付款周期与开票日期一致</t>
        </is>
      </c>
      <c r="G156" s="14" t="inlineStr">
        <is>
          <t>诚成4月堆头陈列-经销商签订促销合同.pdf；销售Excel；逐店照片</t>
        </is>
      </c>
      <c r="I156" s="14" t="inlineStr">
        <is>
          <t>读取合同活动期、20家门店、单店1000元、陈列标准和总金额，并逐店比较照片；同时检查销售期间。</t>
        </is>
      </c>
      <c r="K156" s="19" t="inlineStr">
        <is>
          <t>部分通过</t>
        </is>
      </c>
      <c r="L156" s="14" t="inlineStr">
        <is>
          <t>判定依据：合同20家×1000.00元=20000.00元与申报一致；逐店证据16家通过、4家补证。未提交发票，合同付款周期与开票日期无法比较。
能力边界/补证：合同执行条款只完成部分验证；4家补证，付款周期/开票一致性需在有发票后再检查。</t>
        </is>
      </c>
    </row>
    <row r="158" ht="24" customHeight="1">
      <c r="A158" s="11" t="inlineStr">
        <is>
          <t>异常、影响与补证清单</t>
        </is>
      </c>
    </row>
    <row r="159" ht="42" customHeight="1">
      <c r="A159" s="12" t="inlineStr">
        <is>
          <t>高风险影响数量、金额或核心证据；中风险表示映射、身份、日期或真实性证据仍需说明。</t>
        </is>
      </c>
    </row>
    <row r="160" ht="30" customHeight="1">
      <c r="A160" s="13" t="inlineStr">
        <is>
          <t>序号</t>
        </is>
      </c>
      <c r="B160" s="13" t="inlineStr">
        <is>
          <t>等级</t>
        </is>
      </c>
      <c r="C160" s="13" t="inlineStr">
        <is>
          <t>异常代码</t>
        </is>
      </c>
      <c r="E160" s="13" t="inlineStr">
        <is>
          <t>发现及来源</t>
        </is>
      </c>
      <c r="I160" s="13" t="inlineStr">
        <is>
          <t>金额/结论影响</t>
        </is>
      </c>
      <c r="K160" s="13" t="inlineStr">
        <is>
          <t>补证或处理建议</t>
        </is>
      </c>
    </row>
    <row r="161" ht="108" customHeight="1">
      <c r="A161" s="26" t="n">
        <v>1</v>
      </c>
      <c r="B161" s="26" t="inlineStr">
        <is>
          <t>高</t>
        </is>
      </c>
      <c r="C161" s="26" t="inlineStr">
        <is>
          <t>STORE_DISPLAY_EVIDENCE_INCOMPLETE</t>
        </is>
      </c>
      <c r="E161" s="26" t="inlineStr">
        <is>
          <t>合同第6家“金大福（东浦金正和总店）”未通过：期间未通过、门店未匹配、陈列标准未通过。
来源：6.东浦金正和.jpg</t>
        </is>
      </c>
      <c r="I161" s="26" t="inlineStr">
        <is>
          <t>暂不支持该店1000.00元费用。</t>
        </is>
      </c>
      <c r="K161" s="26" t="inlineStr">
        <is>
          <t>补充带清晰日期和门店名称/地址水印的原始现场照片。；补充包含完整堆头全景、层数或尺寸参照的照片，以验证陈列标准。</t>
        </is>
      </c>
    </row>
    <row r="162" ht="108" customHeight="1">
      <c r="A162" s="26" t="n">
        <v>2</v>
      </c>
      <c r="B162" s="26" t="inlineStr">
        <is>
          <t>高</t>
        </is>
      </c>
      <c r="C162" s="26" t="inlineStr">
        <is>
          <t>STORE_DISPLAY_EVIDENCE_INCOMPLETE</t>
        </is>
      </c>
      <c r="E162" s="26" t="inlineStr">
        <is>
          <t>合同第10家“挺拇指生活超市（横沥店）”未通过：门店未匹配。
来源：10-1挺拇指生活超市(横沥店).jpg、10-2挺拇指生活超市(横沥店).jpg</t>
        </is>
      </c>
      <c r="I162" s="26" t="inlineStr">
        <is>
          <t>暂不支持该店1000.00元费用。</t>
        </is>
      </c>
      <c r="K162" s="26" t="inlineStr">
        <is>
          <t>补充南铭购物乐园与挺拇指生活超市横沥店的权威地址、店中店或更名映射；否则补交合同门店现场照片。</t>
        </is>
      </c>
    </row>
    <row r="163" ht="108" customHeight="1">
      <c r="A163" s="26" t="n">
        <v>3</v>
      </c>
      <c r="B163" s="26" t="inlineStr">
        <is>
          <t>高</t>
        </is>
      </c>
      <c r="C163" s="26" t="inlineStr">
        <is>
          <t>STORE_DISPLAY_EVIDENCE_INCOMPLETE</t>
        </is>
      </c>
      <c r="E163" s="26" t="inlineStr">
        <is>
          <t>合同第11家“人人购物广场荟和二店”未通过：门店未匹配。
来源：11.人人购物荟和超市.jpg</t>
        </is>
      </c>
      <c r="I163" s="26" t="inlineStr">
        <is>
          <t>暂不支持该店1000.00元费用。</t>
        </is>
      </c>
      <c r="K163" s="26" t="inlineStr">
        <is>
          <t>补充人人购物同乐店与人人购物广场荟和二店的官方地址/别名映射；否则补交合同门店照片。</t>
        </is>
      </c>
    </row>
    <row r="164" ht="108" customHeight="1">
      <c r="A164" s="26" t="n">
        <v>4</v>
      </c>
      <c r="B164" s="26" t="inlineStr">
        <is>
          <t>高</t>
        </is>
      </c>
      <c r="C164" s="26" t="inlineStr">
        <is>
          <t>STORE_DISPLAY_EVIDENCE_INCOMPLETE</t>
        </is>
      </c>
      <c r="E164" s="26" t="inlineStr">
        <is>
          <t>合同第14家“润家连锁超市（美联购物中心店）”未通过：门店未匹配。
来源：14.润家连锁超市(美联购物中心店).jpg</t>
        </is>
      </c>
      <c r="I164" s="26" t="inlineStr">
        <is>
          <t>暂不支持该店1000.00元费用。</t>
        </is>
      </c>
      <c r="K164" s="26" t="inlineStr">
        <is>
          <t>补充深圳紫云快捷宾馆位置与润家连锁超市美联购物中心店的权威地址关系；否则补交合同门店现场照片。</t>
        </is>
      </c>
    </row>
    <row r="165" ht="108" customHeight="1">
      <c r="A165" s="19" t="n">
        <v>5</v>
      </c>
      <c r="B165" s="19" t="inlineStr">
        <is>
          <t>中</t>
        </is>
      </c>
      <c r="C165" s="19" t="inlineStr">
        <is>
          <t>PHOTO_ORIGINAL_METADATA_ABSENT</t>
        </is>
      </c>
      <c r="E165" s="19" t="inlineStr">
        <is>
          <t>照片缺少可用的EXIF拍摄时间或GPS，主要依赖画面水印。</t>
        </is>
      </c>
      <c r="I165" s="19" t="inlineStr">
        <is>
          <t>无法从原始文件元数据独立验证拍摄时空。</t>
        </is>
      </c>
      <c r="K165" s="19" t="inlineStr">
        <is>
          <t>保留原始拍摄文件，或补充平台定位/签到记录。</t>
        </is>
      </c>
    </row>
    <row r="166" ht="108" customHeight="1">
      <c r="A166" s="19" t="n">
        <v>6</v>
      </c>
      <c r="B166" s="19" t="inlineStr">
        <is>
          <t>中</t>
        </is>
      </c>
      <c r="C166" s="19" t="inlineStr">
        <is>
          <t>SALES_DATA_NOT_STORE_LEVEL</t>
        </is>
      </c>
      <c r="E166" s="19" t="inlineStr">
        <is>
          <t>销售Excel为经销商汇总，不能拆分到合同中的各门店。
来源：C:\Users\EDY\Desktop\codex\offline-activity-audit\input\.prepared\20260817-full-001\sources\promotional_display\核销资料-诚成26年4月【堆头20家】\2026年4月销售明细20260509164207765.xlsx</t>
        </is>
      </c>
      <c r="I166" s="19" t="inlineStr">
        <is>
          <t>销售数据只能证明活动期总体销售，不能独立证明逐店执行。</t>
        </is>
      </c>
      <c r="K166" s="19" t="inlineStr">
        <is>
          <t>如政策要求逐店销售佐证，补交门店级POS或出库明细。</t>
        </is>
      </c>
    </row>
    <row r="167" ht="108" customHeight="1">
      <c r="A167" s="19" t="n">
        <v>7</v>
      </c>
      <c r="B167" s="19" t="inlineStr">
        <is>
          <t>中</t>
        </is>
      </c>
      <c r="C167" s="19" t="inlineStr">
        <is>
          <t>SALES_EXCEL_EXTERNAL_LINKS</t>
        </is>
      </c>
      <c r="E167" s="19" t="inlineStr">
        <is>
          <t>销售Excel有36个公式引用缺失的外部工作簿。
来源：H10,H11,H16,H17,H21,H22,H27,H30,H31,H33,H34,H9,L11,L13,L14,L15,L16,L17,L2,L20</t>
        </is>
      </c>
      <c r="I167" s="19" t="inlineStr">
        <is>
          <t>部分单位或零售价无法在当前文件内独立重算。</t>
        </is>
      </c>
      <c r="K167" s="19" t="inlineStr">
        <is>
          <t>补交被引用主数据或将外链转为可追溯静态值。</t>
        </is>
      </c>
    </row>
    <row r="169" ht="24" customHeight="1">
      <c r="A169" s="11" t="inlineStr">
        <is>
          <t>模型调用量与失败重试</t>
        </is>
      </c>
    </row>
    <row r="170" ht="42" customHeight="1">
      <c r="A170" s="12" t="inlineStr">
        <is>
          <t>这里只保存结构化调用次数、重试和Token统计，不保存stdout/stderr、模型事件流或其他运行日志。</t>
        </is>
      </c>
    </row>
    <row r="171" ht="30" customHeight="1">
      <c r="A171" s="13" t="inlineStr">
        <is>
          <t>模型</t>
        </is>
      </c>
      <c r="B171" s="13" t="inlineStr">
        <is>
          <t>调用次数</t>
        </is>
      </c>
      <c r="C171" s="13" t="inlineStr">
        <is>
          <t>成功次数</t>
        </is>
      </c>
      <c r="D171" s="13" t="inlineStr">
        <is>
          <t>失败次数</t>
        </is>
      </c>
      <c r="E171" s="13" t="inlineStr">
        <is>
          <t>重试次数</t>
        </is>
      </c>
      <c r="F171" s="13" t="inlineStr">
        <is>
          <t>输入Token</t>
        </is>
      </c>
      <c r="G171" s="13" t="inlineStr">
        <is>
          <t>缓存输入Token</t>
        </is>
      </c>
      <c r="H171" s="13" t="inlineStr">
        <is>
          <t>输出Token</t>
        </is>
      </c>
      <c r="I171" s="13" t="inlineStr">
        <is>
          <t>推理输出Token</t>
        </is>
      </c>
      <c r="J171" s="13" t="inlineStr">
        <is>
          <t>总Token</t>
        </is>
      </c>
    </row>
    <row r="172" ht="36" customHeight="1">
      <c r="A172" s="14" t="inlineStr">
        <is>
          <t>default</t>
        </is>
      </c>
      <c r="B172" s="15" t="n">
        <v>1</v>
      </c>
      <c r="C172" s="15" t="n">
        <v>1</v>
      </c>
      <c r="D172" s="15" t="n">
        <v>0</v>
      </c>
      <c r="E172" s="15" t="n">
        <v>0</v>
      </c>
      <c r="F172" s="15" t="n">
        <v>3179921</v>
      </c>
      <c r="G172" s="15" t="n">
        <v>2913280</v>
      </c>
      <c r="H172" s="15" t="n">
        <v>47180</v>
      </c>
      <c r="I172" s="15" t="n">
        <v>23542</v>
      </c>
      <c r="J172" s="15" t="n">
        <v>3227101</v>
      </c>
    </row>
    <row r="174" ht="30" customHeight="1">
      <c r="A174" s="13" t="inlineStr">
        <is>
          <t>尝试序号</t>
        </is>
      </c>
      <c r="B174" s="13" t="inlineStr">
        <is>
          <t>状态</t>
        </is>
      </c>
      <c r="C174" s="13" t="inlineStr">
        <is>
          <t>退出码</t>
        </is>
      </c>
      <c r="D174" s="13" t="inlineStr">
        <is>
          <t>失败原因摘要</t>
        </is>
      </c>
      <c r="E174" s="13" t="inlineStr">
        <is>
          <t>输入Token</t>
        </is>
      </c>
      <c r="F174" s="13" t="inlineStr">
        <is>
          <t>缓存输入Token</t>
        </is>
      </c>
      <c r="G174" s="13" t="inlineStr">
        <is>
          <t>输出Token</t>
        </is>
      </c>
      <c r="H174" s="13" t="inlineStr">
        <is>
          <t>推理Token</t>
        </is>
      </c>
      <c r="I174" s="13" t="inlineStr">
        <is>
          <t>总Token</t>
        </is>
      </c>
    </row>
    <row r="175" ht="36" customHeight="1">
      <c r="A175" s="14" t="n">
        <v>1</v>
      </c>
      <c r="B175" s="14" t="inlineStr">
        <is>
          <t>成功</t>
        </is>
      </c>
      <c r="C175" s="14" t="n">
        <v>0</v>
      </c>
      <c r="D175" s="14" t="n"/>
      <c r="E175" s="14" t="n">
        <v>3179921</v>
      </c>
      <c r="F175" s="14" t="n">
        <v>2913280</v>
      </c>
      <c r="G175" s="14" t="n">
        <v>47180</v>
      </c>
      <c r="H175" s="14" t="n">
        <v>23542</v>
      </c>
      <c r="I175" s="14" t="n">
        <v>3227101</v>
      </c>
    </row>
  </sheetData>
  <mergeCells count="280">
    <mergeCell ref="H53:I53"/>
    <mergeCell ref="H35:I35"/>
    <mergeCell ref="F16:G16"/>
    <mergeCell ref="A159:M159"/>
    <mergeCell ref="B22:C22"/>
    <mergeCell ref="J28:K28"/>
    <mergeCell ref="B31:C31"/>
    <mergeCell ref="A81:M81"/>
    <mergeCell ref="K161:M161"/>
    <mergeCell ref="C162:D162"/>
    <mergeCell ref="B12:C12"/>
    <mergeCell ref="H39:I39"/>
    <mergeCell ref="B21:C21"/>
    <mergeCell ref="D28:F28"/>
    <mergeCell ref="L12:M12"/>
    <mergeCell ref="E156:F156"/>
    <mergeCell ref="E153:F153"/>
    <mergeCell ref="F15:G15"/>
    <mergeCell ref="D37:F37"/>
    <mergeCell ref="D13:E13"/>
    <mergeCell ref="E155:F155"/>
    <mergeCell ref="C164:D164"/>
    <mergeCell ref="B14:C14"/>
    <mergeCell ref="K160:M160"/>
    <mergeCell ref="D30:F30"/>
    <mergeCell ref="L14:M14"/>
    <mergeCell ref="D39:F39"/>
    <mergeCell ref="D48:E48"/>
    <mergeCell ref="H52:I52"/>
    <mergeCell ref="A82:M82"/>
    <mergeCell ref="B13:C13"/>
    <mergeCell ref="B38:C38"/>
    <mergeCell ref="C163:D163"/>
    <mergeCell ref="D29:F29"/>
    <mergeCell ref="D23:F23"/>
    <mergeCell ref="I155:J155"/>
    <mergeCell ref="H37:I37"/>
    <mergeCell ref="J31:K31"/>
    <mergeCell ref="F13:G13"/>
    <mergeCell ref="B40:C40"/>
    <mergeCell ref="H13:I13"/>
    <mergeCell ref="B49:C49"/>
    <mergeCell ref="I166:J166"/>
    <mergeCell ref="J21:K21"/>
    <mergeCell ref="B24:C24"/>
    <mergeCell ref="C149:D149"/>
    <mergeCell ref="B33:C33"/>
    <mergeCell ref="B51:C51"/>
    <mergeCell ref="H15:I15"/>
    <mergeCell ref="A18:M18"/>
    <mergeCell ref="D51:E51"/>
    <mergeCell ref="J4:M4"/>
    <mergeCell ref="A6:C6"/>
    <mergeCell ref="H23:I23"/>
    <mergeCell ref="B32:C32"/>
    <mergeCell ref="E166:H166"/>
    <mergeCell ref="J23:K23"/>
    <mergeCell ref="B26:C26"/>
    <mergeCell ref="B41:C41"/>
    <mergeCell ref="G149:H149"/>
    <mergeCell ref="A2:M2"/>
    <mergeCell ref="B35:C35"/>
    <mergeCell ref="I149:J149"/>
    <mergeCell ref="E163:H163"/>
    <mergeCell ref="K165:M165"/>
    <mergeCell ref="B16:C16"/>
    <mergeCell ref="D27:F27"/>
    <mergeCell ref="B25:C25"/>
    <mergeCell ref="D41:F41"/>
    <mergeCell ref="L16:M16"/>
    <mergeCell ref="F54:G54"/>
    <mergeCell ref="H54:I54"/>
    <mergeCell ref="G6:I6"/>
    <mergeCell ref="G151:H151"/>
    <mergeCell ref="I151:J151"/>
    <mergeCell ref="H41:I41"/>
    <mergeCell ref="A122:M122"/>
    <mergeCell ref="A3:C3"/>
    <mergeCell ref="I160:J160"/>
    <mergeCell ref="H50:I50"/>
    <mergeCell ref="B27:C27"/>
    <mergeCell ref="D43:F43"/>
    <mergeCell ref="H25:I25"/>
    <mergeCell ref="H34:I34"/>
    <mergeCell ref="J34:K34"/>
    <mergeCell ref="B11:C11"/>
    <mergeCell ref="D11:E11"/>
    <mergeCell ref="H49:I49"/>
    <mergeCell ref="L151:M151"/>
    <mergeCell ref="D3:F3"/>
    <mergeCell ref="G4:I4"/>
    <mergeCell ref="J27:K27"/>
    <mergeCell ref="H36:I36"/>
    <mergeCell ref="D25:F25"/>
    <mergeCell ref="J36:K36"/>
    <mergeCell ref="A4:C4"/>
    <mergeCell ref="B53:C53"/>
    <mergeCell ref="D53:E53"/>
    <mergeCell ref="I162:J162"/>
    <mergeCell ref="H11:I11"/>
    <mergeCell ref="A169:M169"/>
    <mergeCell ref="J11:K11"/>
    <mergeCell ref="J20:K20"/>
    <mergeCell ref="B29:C29"/>
    <mergeCell ref="B37:C37"/>
    <mergeCell ref="K162:M162"/>
    <mergeCell ref="K49:M49"/>
    <mergeCell ref="H28:I28"/>
    <mergeCell ref="J22:K22"/>
    <mergeCell ref="E154:F154"/>
    <mergeCell ref="G154:H154"/>
    <mergeCell ref="L149:M149"/>
    <mergeCell ref="A46:M46"/>
    <mergeCell ref="H12:I12"/>
    <mergeCell ref="K164:M164"/>
    <mergeCell ref="J12:K12"/>
    <mergeCell ref="B15:C15"/>
    <mergeCell ref="F48:G48"/>
    <mergeCell ref="D15:E15"/>
    <mergeCell ref="H48:I48"/>
    <mergeCell ref="D31:F31"/>
    <mergeCell ref="C165:D165"/>
    <mergeCell ref="D40:F40"/>
    <mergeCell ref="A56:M56"/>
    <mergeCell ref="C155:D155"/>
    <mergeCell ref="K163:M163"/>
    <mergeCell ref="H14:I14"/>
    <mergeCell ref="D21:F21"/>
    <mergeCell ref="A7:C7"/>
    <mergeCell ref="B54:C54"/>
    <mergeCell ref="J29:K29"/>
    <mergeCell ref="H38:I38"/>
    <mergeCell ref="C151:D151"/>
    <mergeCell ref="A8:M8"/>
    <mergeCell ref="J38:K38"/>
    <mergeCell ref="D32:F32"/>
    <mergeCell ref="H43:I43"/>
    <mergeCell ref="E151:F151"/>
    <mergeCell ref="G155:H155"/>
    <mergeCell ref="C160:D160"/>
    <mergeCell ref="C166:D166"/>
    <mergeCell ref="J3:M3"/>
    <mergeCell ref="G3:I3"/>
    <mergeCell ref="H31:I31"/>
    <mergeCell ref="D7:F7"/>
    <mergeCell ref="E150:F150"/>
    <mergeCell ref="H40:I40"/>
    <mergeCell ref="A10:M10"/>
    <mergeCell ref="J40:K40"/>
    <mergeCell ref="B43:C43"/>
    <mergeCell ref="A19:M19"/>
    <mergeCell ref="B52:C52"/>
    <mergeCell ref="H21:I21"/>
    <mergeCell ref="D52:E52"/>
    <mergeCell ref="F53:G53"/>
    <mergeCell ref="J24:K24"/>
    <mergeCell ref="D49:E49"/>
    <mergeCell ref="C152:D152"/>
    <mergeCell ref="E152:F152"/>
    <mergeCell ref="A9:M9"/>
    <mergeCell ref="B42:C42"/>
    <mergeCell ref="I150:J150"/>
    <mergeCell ref="K166:M166"/>
    <mergeCell ref="K48:M48"/>
    <mergeCell ref="F50:G50"/>
    <mergeCell ref="E149:F149"/>
    <mergeCell ref="D33:F33"/>
    <mergeCell ref="E160:H160"/>
    <mergeCell ref="J26:K26"/>
    <mergeCell ref="I165:J165"/>
    <mergeCell ref="D42:F42"/>
    <mergeCell ref="G152:H152"/>
    <mergeCell ref="J35:K35"/>
    <mergeCell ref="B44:C44"/>
    <mergeCell ref="I152:J152"/>
    <mergeCell ref="L153:M153"/>
    <mergeCell ref="A1:M1"/>
    <mergeCell ref="H16:I16"/>
    <mergeCell ref="I161:J161"/>
    <mergeCell ref="J16:K16"/>
    <mergeCell ref="B34:C34"/>
    <mergeCell ref="J25:K25"/>
    <mergeCell ref="B28:C28"/>
    <mergeCell ref="D35:F35"/>
    <mergeCell ref="D44:F44"/>
    <mergeCell ref="K167:M167"/>
    <mergeCell ref="H22:I22"/>
    <mergeCell ref="D20:F20"/>
    <mergeCell ref="E161:H161"/>
    <mergeCell ref="D34:F34"/>
    <mergeCell ref="D12:E12"/>
    <mergeCell ref="B30:C30"/>
    <mergeCell ref="L152:M152"/>
    <mergeCell ref="G153:H153"/>
    <mergeCell ref="I153:J153"/>
    <mergeCell ref="C161:D161"/>
    <mergeCell ref="B20:C20"/>
    <mergeCell ref="H42:I42"/>
    <mergeCell ref="D22:F22"/>
    <mergeCell ref="J42:K42"/>
    <mergeCell ref="L155:M155"/>
    <mergeCell ref="D36:F36"/>
    <mergeCell ref="L11:M11"/>
    <mergeCell ref="D14:E14"/>
    <mergeCell ref="F49:G49"/>
    <mergeCell ref="F14:G14"/>
    <mergeCell ref="K51:M51"/>
    <mergeCell ref="D54:E54"/>
    <mergeCell ref="A57:M57"/>
    <mergeCell ref="D6:F6"/>
    <mergeCell ref="C154:D154"/>
    <mergeCell ref="G7:I7"/>
    <mergeCell ref="H30:I30"/>
    <mergeCell ref="J39:K39"/>
    <mergeCell ref="F11:G11"/>
    <mergeCell ref="J44:K44"/>
    <mergeCell ref="H20:I20"/>
    <mergeCell ref="K50:M50"/>
    <mergeCell ref="E162:H162"/>
    <mergeCell ref="I164:J164"/>
    <mergeCell ref="H29:I29"/>
    <mergeCell ref="J14:K14"/>
    <mergeCell ref="C156:D156"/>
    <mergeCell ref="L150:M150"/>
    <mergeCell ref="J37:K37"/>
    <mergeCell ref="A147:M147"/>
    <mergeCell ref="I154:J154"/>
    <mergeCell ref="H44:I44"/>
    <mergeCell ref="J13:K13"/>
    <mergeCell ref="I163:J163"/>
    <mergeCell ref="K52:M52"/>
    <mergeCell ref="L13:M13"/>
    <mergeCell ref="E164:H164"/>
    <mergeCell ref="A170:M170"/>
    <mergeCell ref="B39:C39"/>
    <mergeCell ref="J30:K30"/>
    <mergeCell ref="F12:G12"/>
    <mergeCell ref="B48:C48"/>
    <mergeCell ref="G156:H156"/>
    <mergeCell ref="I156:J156"/>
    <mergeCell ref="J15:K15"/>
    <mergeCell ref="F51:G51"/>
    <mergeCell ref="D4:F4"/>
    <mergeCell ref="L15:M15"/>
    <mergeCell ref="B23:C23"/>
    <mergeCell ref="H51:I51"/>
    <mergeCell ref="A148:M148"/>
    <mergeCell ref="K53:M53"/>
    <mergeCell ref="C167:D167"/>
    <mergeCell ref="D24:F24"/>
    <mergeCell ref="E165:H165"/>
    <mergeCell ref="D38:F38"/>
    <mergeCell ref="D16:E16"/>
    <mergeCell ref="A123:M123"/>
    <mergeCell ref="L156:M156"/>
    <mergeCell ref="H32:I32"/>
    <mergeCell ref="J32:K32"/>
    <mergeCell ref="J41:K41"/>
    <mergeCell ref="D26:F26"/>
    <mergeCell ref="J6:M6"/>
    <mergeCell ref="I167:J167"/>
    <mergeCell ref="C150:D150"/>
    <mergeCell ref="H27:I27"/>
    <mergeCell ref="F52:G52"/>
    <mergeCell ref="C153:D153"/>
    <mergeCell ref="J43:K43"/>
    <mergeCell ref="A158:M158"/>
    <mergeCell ref="H24:I24"/>
    <mergeCell ref="K54:M54"/>
    <mergeCell ref="E167:H167"/>
    <mergeCell ref="H33:I33"/>
    <mergeCell ref="G150:H150"/>
    <mergeCell ref="J33:K33"/>
    <mergeCell ref="B36:C36"/>
    <mergeCell ref="B50:C50"/>
    <mergeCell ref="L154:M154"/>
    <mergeCell ref="D50:E50"/>
    <mergeCell ref="J7:M7"/>
    <mergeCell ref="A47:M47"/>
    <mergeCell ref="H26:I2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2026-08-17T07:17:58Z</dcterms:created>
  <dcterms:modified xmlns:dcterms="http://purl.org/dc/terms/" xmlns:xsi="http://www.w3.org/2001/XMLSchema-instance" xsi:type="dcterms:W3CDTF">2026-08-17T07:17:59Z</dcterms:modified>
</cp:coreProperties>
</file>